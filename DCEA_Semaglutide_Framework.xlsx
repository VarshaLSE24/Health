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Notes &amp; Sources" sheetId="2" r:id="rId6"/>
    <sheet state="visible" name="CEA" sheetId="3" r:id="rId7"/>
    <sheet state="visible" name="benefit" sheetId="4" r:id="rId8"/>
    <sheet state="visible" name="oppcost" sheetId="5" r:id="rId9"/>
    <sheet state="visible" name="DCEA" sheetId="6" r:id="rId10"/>
    <sheet state="visible" name="sensitivity analysis" sheetId="7" r:id="rId11"/>
  </sheets>
  <definedNames>
    <definedName name="Semaglutide_net_benefit_q2">DCEA!$D$8</definedName>
    <definedName name="slimstatin_net_benefit_q2">DCEA!$D$8</definedName>
    <definedName name="Q1_P">benefit!$C$6</definedName>
    <definedName name="total_opportunity_cost_q5">oppcost!$G$7</definedName>
    <definedName name="mean_benefit">CEA!$C$7</definedName>
    <definedName name="total_opportunity_cost_q4">oppcost!$F$7</definedName>
    <definedName name="qale_baseline_q3">DCEA!$E$6</definedName>
    <definedName name="nice_threshold">CEA!$C$9</definedName>
    <definedName name="qale_baseline_q1">DCEA!$C$6</definedName>
    <definedName name="ce_threshold">CEA!$C$8</definedName>
    <definedName name="drug_costs">CEA!$C$5</definedName>
    <definedName name="opp_cost_q1">oppcost!$C$6</definedName>
    <definedName name="Q1_pop_share">benefit!$C$7</definedName>
    <definedName name="qale_slimstatin_q1">DCEA!$C$10</definedName>
    <definedName name="qale_slimstatin_q4">DCEA!$F$10</definedName>
    <definedName name="total_opportunity_cost_q1">oppcost!$C$7</definedName>
    <definedName name="Q3_P">benefit!$E$6</definedName>
    <definedName name="qale_slimstatin_mean">DCEA!$H$10</definedName>
    <definedName name="nice_theshold">CEA!$C$9</definedName>
    <definedName name="absolute_gap_Semaglutide">DCEA!$I$10</definedName>
    <definedName name="Semaglutide_net_benefit_q3">DCEA!$E$8</definedName>
    <definedName name="opp_cost_q4">oppcost!$F$6</definedName>
    <definedName name="opp_cost_pc_q3">oppcost!$E$4</definedName>
    <definedName name="slimstatin_benefit_q2">benefit!$D$10</definedName>
    <definedName name="slimstatin_benefit_q5">benefit!$G$10</definedName>
    <definedName name="total_opportunity_cost_q2">oppcost!$D$7</definedName>
    <definedName name="net_cost_pp">CEA!$C$4</definedName>
    <definedName name="Semaglutide_net_benefit_q1">DCEA!$C$8</definedName>
    <definedName name="slimstatin_benefit_q4">benefit!$F$10</definedName>
    <definedName name="opp_cost_pc_q2">oppcost!$D$4</definedName>
    <definedName name="Semaglutide_benefit_q1">benefit!$C$10</definedName>
    <definedName name="Semaglutide_benefit_q5">benefit!$G$10</definedName>
    <definedName name="qale_baseline_mean">DCEA!$H$6</definedName>
    <definedName name="opp_cost_q5">oppcost!$G$6</definedName>
    <definedName name="opp_cost_pc_q1">oppcost!$C$4</definedName>
    <definedName name="slimstatin_net_benefit_q1">DCEA!$C$8</definedName>
    <definedName name="Q5_pop">benefit!$G$7</definedName>
    <definedName name="qale_Semaglutide_q4">DCEA!$F$10</definedName>
    <definedName name="drug_cost">CEA!$C$4</definedName>
    <definedName name="total_treated">benefit!$H$9</definedName>
    <definedName name="absolute_gap_baseline">DCEA!$I$6</definedName>
    <definedName name="absolute_gap_slimstatin">DCEA!$I$10</definedName>
    <definedName name="opp_cost_pc_q5">oppcost!$G$4</definedName>
    <definedName name="Q2_pop_share">benefit!$C$7</definedName>
    <definedName name="threshold">CEA!$C$8</definedName>
    <definedName name="Semaglutide_net_benefit_q5">DCEA!$G$8</definedName>
    <definedName name="QALY">CEA!$C$4</definedName>
    <definedName name="qale_Semaglutide_q3">DCEA!$E$10</definedName>
    <definedName name="Q4_pop">benefit!$F$7</definedName>
    <definedName name="total_opportunity_cost_q3">oppcost!$E$7</definedName>
    <definedName name="qale_slimstatin_q5">DCEA!$G$10</definedName>
    <definedName name="slimstatin_net_benefit_q4">DCEA!$F$8</definedName>
    <definedName name="qale_Semaglutide_q2">DCEA!$D$10</definedName>
    <definedName name="Q1_pop">benefit!$C$7</definedName>
    <definedName name="Semaglutide_benefit_q4">benefit!$F$10</definedName>
    <definedName name="qale_Semaglutide_mean">DCEA!$H$10</definedName>
    <definedName name="qale_Semaglutide_q5">DCEA!$G$10</definedName>
    <definedName name="slimstatin_net_benefit_q5">DCEA!$G$8</definedName>
    <definedName name="qale_baseline_q5">DCEA!$G$6</definedName>
    <definedName name="Semaglutide_benefit_q3">benefit!$E$10</definedName>
    <definedName name="Semaglutide_benefit_q2">benefit!$D$10</definedName>
    <definedName name="opp_cost_pc_q4">oppcost!$F$4</definedName>
    <definedName name="qale_baseline_q2">DCEA!$D$6</definedName>
    <definedName name="qale_slimstatin_q2">DCEA!$D$10</definedName>
    <definedName name="opp_cost_q3">oppcost!$E$6</definedName>
    <definedName name="Q3_pop">benefit!$E$7</definedName>
    <definedName name="opp_cost_q2">oppcost!$D$6</definedName>
    <definedName name="Q5_P">benefit!$G$6</definedName>
    <definedName name="slimstatin_net_benefit_q3">DCEA!$E$8</definedName>
    <definedName name="Q4_P">benefit!$F$6</definedName>
    <definedName name="slimstatin_benefit_q3">benefit!$E$10</definedName>
    <definedName name="qale_slimstatin_q3">DCEA!$E$10</definedName>
    <definedName name="Q2_pop">benefit!$D$7</definedName>
    <definedName name="qale_baseline_q4">DCEA!$F$6</definedName>
    <definedName name="Semaglutide_net_benefit_q4">DCEA!$F$8</definedName>
    <definedName name="icer">CEA!$C$6</definedName>
    <definedName name="Q2_P">benefit!$D$6</definedName>
    <definedName name="qale_Semaglutide_q1">DCEA!$C$10</definedName>
    <definedName name="slimstatin_benefit_q1">benefit!$C$10</definedName>
  </definedNames>
  <calcPr/>
</workbook>
</file>

<file path=xl/sharedStrings.xml><?xml version="1.0" encoding="utf-8"?>
<sst xmlns="http://schemas.openxmlformats.org/spreadsheetml/2006/main" count="137" uniqueCount="116">
  <si>
    <t>Notes &amp; Sources</t>
  </si>
  <si>
    <t>DCEA: Semaglutide for Obesity in England</t>
  </si>
  <si>
    <t>Cost-Effectiveness Analysis: Semaglutide</t>
  </si>
  <si>
    <t>Benefit Incidence by Income Quintile</t>
  </si>
  <si>
    <t>Parameter</t>
  </si>
  <si>
    <t>Summary Table</t>
  </si>
  <si>
    <t>Value</t>
  </si>
  <si>
    <t>Incremental QALY per patient</t>
  </si>
  <si>
    <t>Data sources:</t>
  </si>
  <si>
    <t>Net cost per patient</t>
  </si>
  <si>
    <t>£1,601</t>
  </si>
  <si>
    <t>ICER</t>
  </si>
  <si>
    <t>Q1 (Poorest)</t>
  </si>
  <si>
    <r>
      <rPr>
        <rFont val="Arial"/>
        <color rgb="FF000000"/>
        <sz val="10.0"/>
      </rPr>
      <t xml:space="preserve">Baseline QALE by IMD quintile, Love-Koh et al. (2023), </t>
    </r>
    <r>
      <rPr>
        <rFont val="Arial"/>
        <i/>
        <color rgb="FF000000"/>
        <sz val="10.0"/>
      </rPr>
      <t>PharmacoEconomics</t>
    </r>
  </si>
  <si>
    <t>Q2</t>
  </si>
  <si>
    <t>Q3</t>
  </si>
  <si>
    <t>Q4</t>
  </si>
  <si>
    <t>£16,337</t>
  </si>
  <si>
    <t>Q5 (Richest)</t>
  </si>
  <si>
    <t>Cost-effective at £20,000 (NICE)?</t>
  </si>
  <si>
    <t>Opportunity-cost distribution, miqdadasaria/DCEA repo, net_health_benefits_universal_distribution.csv, commit e8c482e (Nov 2019)</t>
  </si>
  <si>
    <t>Yes</t>
  </si>
  <si>
    <t>Cost-effective at £12,936 (empirical)?</t>
  </si>
  <si>
    <t>Acceptability threshold</t>
  </si>
  <si>
    <t>No</t>
  </si>
  <si>
    <t>Thresholds = £20,000/QALY (NICE base case); £12,936/QALY (Claxton et al. 2015, empirical)</t>
  </si>
  <si>
    <t>Opportunity cost threshold (empirical)</t>
  </si>
  <si>
    <t>Obesity prevalence (BMI≥30)</t>
  </si>
  <si>
    <t>Total net benefit @ £20,000</t>
  </si>
  <si>
    <t>+273.6 QALYs</t>
  </si>
  <si>
    <r>
      <rPr>
        <rFont val="Arial"/>
        <color rgb="FF000000"/>
        <sz val="10.0"/>
      </rPr>
      <t xml:space="preserve">DCEA framework = Asaria, Griffin &amp; Cookson (2016), </t>
    </r>
    <r>
      <rPr>
        <rFont val="Arial"/>
        <i/>
        <color rgb="FF000000"/>
        <sz val="10.0"/>
      </rPr>
      <t>Medical Decision Making</t>
    </r>
  </si>
  <si>
    <t>Total net benefit @ £12,936</t>
  </si>
  <si>
    <t>Comparator study = Malcolm et al., YHEC/Novo Nordisk (DCEA of semaglutide, HPR58)</t>
  </si>
  <si>
    <t>−392.7 QALYs</t>
  </si>
  <si>
    <t>Key conventions:</t>
  </si>
  <si>
    <t>Net benefit : poorest quintile (Q1)</t>
  </si>
  <si>
    <t>−210.6 QALYs</t>
  </si>
  <si>
    <t>Opportunity cost threshold (NICE convention)</t>
  </si>
  <si>
    <t>Net benefit : richest quintile (Q5)</t>
  </si>
  <si>
    <t>+380.9 QALYs</t>
  </si>
  <si>
    <t>Equity verdict</t>
  </si>
  <si>
    <t>Regressive under pro-rich uptake</t>
  </si>
  <si>
    <t>Per-person vs total: baseline QALE and net-benefit-per-person are per-individual; opportunity cost, patients treated, and total net benefit are population totals. Convert only by × or ÷ population.</t>
  </si>
  <si>
    <t>NHB at £20,000</t>
  </si>
  <si>
    <t>Headline</t>
  </si>
  <si>
    <t>Opportunity cost: total displaced = net cost × patients treated ÷ threshold, distributed across quintiles by chosen share.</t>
  </si>
  <si>
    <t>Cost-effective overall, but transfers net health from the poorest three quintiles to the richest two.</t>
  </si>
  <si>
    <t>Eligible prevalence (BMI≥35)</t>
  </si>
  <si>
    <t>Welfare: Atkinson equally-distributed equivalent (EDE) on post-drug QALE across inequality-aversion levels.</t>
  </si>
  <si>
    <t>NHB at £12,936</t>
  </si>
  <si>
    <t>Population</t>
  </si>
  <si>
    <t>Population shares</t>
  </si>
  <si>
    <t>Uptake gradient</t>
  </si>
  <si>
    <t>Patients treated</t>
  </si>
  <si>
    <t>Total QALYs</t>
  </si>
  <si>
    <t>Opportunity Cost by Income Quintile</t>
  </si>
  <si>
    <t>Scenario 1 (NICE Base Case - Flat)</t>
  </si>
  <si>
    <t>Scenario 2 (Sensitivity Testing - Asaria-Github)</t>
  </si>
  <si>
    <t>S1 - Opportunity cost per person (QALYs)</t>
  </si>
  <si>
    <t>Sensitivity Analysis: Semaglutide DCEA</t>
  </si>
  <si>
    <t>Distributional Cost-Effectiveness Analysis (DCEA): Semaglutide</t>
  </si>
  <si>
    <t xml:space="preserve">  SA1 — Drug Cost (base case: £1,601 per year)</t>
  </si>
  <si>
    <t>Quality-Adjusted Life Expectancy (QALE) by Quintile</t>
  </si>
  <si>
    <t>Measure</t>
  </si>
  <si>
    <t>Drug Cost (£/yr)</t>
  </si>
  <si>
    <t>ICER (£/QALY)</t>
  </si>
  <si>
    <t>S1 - Total opportunity cost (QALYs)</t>
  </si>
  <si>
    <t>QALE Q1</t>
  </si>
  <si>
    <t>QALE Q2</t>
  </si>
  <si>
    <t>QALE Q3</t>
  </si>
  <si>
    <t>QALE Q4</t>
  </si>
  <si>
    <t>QALE Q5</t>
  </si>
  <si>
    <t>Social Welfare Semaglutide</t>
  </si>
  <si>
    <t>Decision at α=0.5</t>
  </si>
  <si>
    <t>Mean/Total</t>
  </si>
  <si>
    <t>Inequality</t>
  </si>
  <si>
    <t>baseline QALE at birth</t>
  </si>
  <si>
    <t>net benefit (QALYs)</t>
  </si>
  <si>
    <t>S2 - Opportunity cost per person (QALYs)</t>
  </si>
  <si>
    <t>Semaglutide QALE at birth</t>
  </si>
  <si>
    <t>total net benefit (QALYs)</t>
  </si>
  <si>
    <t>Relative Net Benefit Index</t>
  </si>
  <si>
    <t>S2 - Total opportunity cost (QALYs)</t>
  </si>
  <si>
    <t>/?</t>
  </si>
  <si>
    <t>Social Welfare by Inequality Aversion (α)</t>
  </si>
  <si>
    <t>Inequality Aversion (α)</t>
  </si>
  <si>
    <t>Baseline</t>
  </si>
  <si>
    <t>Semaglutide</t>
  </si>
  <si>
    <t>Preferred Option</t>
  </si>
  <si>
    <t>inequality aversion</t>
  </si>
  <si>
    <t>baseline</t>
  </si>
  <si>
    <t>social welfare maximising decision</t>
  </si>
  <si>
    <t xml:space="preserve">  SA2 — Opportunity Cost Distribution (base case: equal / pro-rata 20% each quintile)</t>
  </si>
  <si>
    <t>Scenario</t>
  </si>
  <si>
    <t>Q1 Share</t>
  </si>
  <si>
    <t>Q2 Share</t>
  </si>
  <si>
    <t>Q3 Share</t>
  </si>
  <si>
    <t>Q4 Share</t>
  </si>
  <si>
    <t>Q5 Share</t>
  </si>
  <si>
    <t>Total net benefit</t>
  </si>
  <si>
    <t xml:space="preserve"> Q1's net benefit</t>
  </si>
  <si>
    <t>Q1 outcome</t>
  </si>
  <si>
    <t>Equal (base case)  ← base case</t>
  </si>
  <si>
    <t>To capture the socioeconomic distribution of health opportunity cost, the base case applies a flat distribution (20% per quintile), with a non-flat empirical gradient examined in sensitivity analysis — following established DCEA practice, in which displacement is assumed flat as a neutral base case and a regressive gradient is tested separately. The gradient is taken from the University of York DCEA web tool repository (Asaria, miqdadasaria/DCEA), specifically the file net_health_benefits_universal_distribution.csv at commit e8c482e ("updated opportunity cost weights", November 2019), which reports opportunity-cost weights disaggregated by region (North/South) and IMD quintile. As these weights are shares summing to one across all ten region–quintile cells, the two regional entries were summed within each IMD quintile to collapse the distribution to five national quintile shares: 24.37% (Q1, most deprived), 21.15% (Q2), 21.51% (Q3), 17.56% (Q4) and 15.41% (Q5, least deprived). This reproduces the empirical pattern whereby marginal NHS disinvestment displaces proportionally more health among more deprived groups, who consume greater publicly funded resources after adjustment for clinical need. The minor Q2–Q3 inversion is retained as a faithful feature of the source's regional structure rather than smoothed.</t>
  </si>
  <si>
    <t>Realistic Share (Scenario 2)</t>
  </si>
  <si>
    <t>Concentrated poorest</t>
  </si>
  <si>
    <t>Concentrated richest</t>
  </si>
  <si>
    <t>SA3 — Opportunity Cost Threshold (base case: £20,000)</t>
  </si>
  <si>
    <t>Q1 NB</t>
  </si>
  <si>
    <t>Q2 NB</t>
  </si>
  <si>
    <t>Q3 NB</t>
  </si>
  <si>
    <t>Q4 NB</t>
  </si>
  <si>
    <t>Q5 NB</t>
  </si>
  <si>
    <t>Q1 net benefit</t>
  </si>
  <si>
    <t>£20,000 (NICE)</t>
  </si>
  <si>
    <t>£12,936 (Claxton empirical)</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</si>
</sst>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0"/>
    <numFmt numFmtId="165" formatCode="0.000"/>
    <numFmt numFmtId="166" formatCode="_(* #,##0.000_);_(* \(#,##0.000\);_(* &quot;-&quot;???_);_(@_)"/>
    <numFmt numFmtId="167" formatCode="#,##0.000"/>
    <numFmt numFmtId="168" formatCode="#,##0.0"/>
    <numFmt numFmtId="169" formatCode="&quot;$&quot;#,##0.00"/>
    <numFmt numFmtId="170" formatCode="0.00000000"/>
    <numFmt numFmtId="171" formatCode="0.0000000"/>
    <numFmt numFmtId="172" formatCode="&quot;£&quot;#,##0_);[Red]\(&quot;£&quot;#,##0\)"/>
    <numFmt numFmtId="173" formatCode="_(* #,##0_);_(* \(#,##0\);_(* &quot;-&quot;??_);_(@_)"/>
    <numFmt numFmtId="174" formatCode="#,##0.0000000"/>
    <numFmt numFmtId="175" formatCode="#,##0.00000000"/>
    <numFmt numFmtId="176" formatCode="&quot;£&quot;#,##0"/>
    <numFmt numFmtId="177" formatCode="0.000000"/>
    <numFmt numFmtId="178" formatCode="0.0000"/>
  </numFmts>
  <fonts count="15">
    <font>
      <sz val="10.0"/>
      <color rgb="FF000000"/>
      <name val="Arial"/>
      <scheme val="minor"/>
    </font>
    <font>
      <sz val="10.0"/>
      <color rgb="FF000000"/>
      <name val="Arial"/>
    </font>
    <font>
      <b/>
      <sz val="10.0"/>
      <color rgb="FF000000"/>
      <name val="Arial"/>
    </font>
    <font/>
    <font>
      <b/>
      <sz val="13.0"/>
      <color rgb="FFFFFFFF"/>
      <name val="Arial"/>
    </font>
    <font>
      <b/>
      <sz val="10.0"/>
      <color rgb="FFFFFFFF"/>
      <name val="Arial"/>
    </font>
    <font>
      <sz val="10.0"/>
      <color rgb="FF222222"/>
      <name val="Arial"/>
    </font>
    <font>
      <b/>
      <sz val="10.0"/>
      <color rgb="FF2C3E50"/>
      <name val="Arial"/>
    </font>
    <font>
      <sz val="11.0"/>
      <color theme="1"/>
      <name val="Arial"/>
    </font>
    <font>
      <sz val="10.0"/>
      <color rgb="FF2C3E50"/>
      <name val="Arial"/>
    </font>
    <font>
      <b/>
      <sz val="10.0"/>
      <color rgb="FF1E8449"/>
      <name val="Arial"/>
    </font>
    <font>
      <b/>
      <sz val="11.0"/>
      <color rgb="FF242424"/>
      <name val="Aptos Narrow"/>
    </font>
    <font>
      <b/>
      <sz val="10.0"/>
      <color rgb="FF784212"/>
      <name val="Arial"/>
    </font>
    <font>
      <b/>
      <sz val="10.0"/>
      <color rgb="FFFF00FF"/>
      <name val="Arial"/>
    </font>
    <font>
      <sz val="10.0"/>
      <color rgb="FFFF00FF"/>
      <name val="Arial"/>
    </font>
  </fonts>
  <fills count="15">
    <fill>
      <patternFill patternType="none"/>
    </fill>
    <fill>
      <patternFill patternType="lightGray"/>
    </fill>
    <fill>
      <patternFill patternType="solid">
        <fgColor rgb="FFD9F1F3"/>
        <bgColor rgb="FFD9F1F3"/>
      </patternFill>
    </fill>
    <fill>
      <patternFill patternType="solid">
        <fgColor rgb="FFFEE1CC"/>
        <bgColor rgb="FFFEE1CC"/>
      </patternFill>
    </fill>
    <fill>
      <patternFill patternType="solid">
        <fgColor rgb="FFFFFFFF"/>
        <bgColor rgb="FFFFFFFF"/>
      </patternFill>
    </fill>
    <fill>
      <patternFill patternType="solid">
        <fgColor rgb="FF8B1A1A"/>
        <bgColor rgb="FF8B1A1A"/>
      </patternFill>
    </fill>
    <fill>
      <patternFill patternType="solid">
        <fgColor rgb="FFD2F1DA"/>
        <bgColor rgb="FFD2F1DA"/>
      </patternFill>
    </fill>
    <fill>
      <patternFill patternType="solid">
        <fgColor rgb="FFFEF1CC"/>
        <bgColor rgb="FFFEF1CC"/>
      </patternFill>
    </fill>
    <fill>
      <patternFill patternType="solid">
        <fgColor rgb="FFC0392B"/>
        <bgColor rgb="FFC0392B"/>
      </patternFill>
    </fill>
    <fill>
      <patternFill patternType="solid">
        <fgColor rgb="FFFAE8E8"/>
        <bgColor rgb="FFFAE8E8"/>
      </patternFill>
    </fill>
    <fill>
      <patternFill patternType="solid">
        <fgColor rgb="FF2C3E50"/>
        <bgColor rgb="FF2C3E50"/>
      </patternFill>
    </fill>
    <fill>
      <patternFill patternType="solid">
        <fgColor rgb="FFF2F2F2"/>
        <bgColor rgb="FFF2F2F2"/>
      </patternFill>
    </fill>
    <fill>
      <patternFill patternType="solid">
        <fgColor rgb="FFFEF9E7"/>
        <bgColor rgb="FFFEF9E7"/>
      </patternFill>
    </fill>
    <fill>
      <patternFill patternType="solid">
        <fgColor theme="0"/>
        <bgColor theme="0"/>
      </patternFill>
    </fill>
    <fill>
      <patternFill patternType="solid">
        <fgColor rgb="FFFFFDE0"/>
        <bgColor rgb="FFFFFDE0"/>
      </patternFill>
    </fill>
  </fills>
  <borders count="36">
    <border/>
    <border>
      <left/>
      <top/>
    </border>
    <border>
      <left/>
      <top/>
      <bottom/>
    </border>
    <border>
      <top/>
    </border>
    <border>
      <top/>
      <bottom/>
    </border>
    <border>
      <left/>
      <right/>
      <top/>
      <bottom/>
    </border>
    <border>
      <left style="thin">
        <color rgb="FFCCCCCC"/>
      </left>
      <top style="thin">
        <color rgb="FFCCCCCC"/>
      </top>
      <bottom style="thin">
        <color rgb="FFCCCCCC"/>
      </bottom>
    </border>
    <border>
      <right/>
      <top/>
    </border>
    <border>
      <right/>
      <top/>
      <bottom/>
    </border>
    <border>
      <right/>
      <top style="thin">
        <color rgb="FFCCCCCC"/>
      </top>
      <bottom style="thin">
        <color rgb="FFCCCCCC"/>
      </bottom>
    </border>
    <border>
      <left/>
      <bottom/>
    </border>
    <border>
      <bottom/>
    </border>
    <border>
      <top style="thin">
        <color rgb="FFCCCCCC"/>
      </top>
      <bottom style="thin">
        <color rgb="FFCCCCCC"/>
      </bottom>
    </border>
    <border>
      <left style="thin">
        <color rgb="FFCCCCCC"/>
      </left>
      <right style="thin">
        <color rgb="FFCCCCCC"/>
      </right>
      <top style="thin">
        <color rgb="FFCCCCCC"/>
      </top>
      <bottom style="thin">
        <color rgb="FFCCCCCC"/>
      </bottom>
    </border>
    <border>
      <right/>
      <bottom/>
    </border>
    <border>
      <right style="thin">
        <color rgb="FFCCCCCC"/>
      </right>
      <top style="thin">
        <color rgb="FFCCCCCC"/>
      </top>
      <bottom style="thin">
        <color rgb="FFCCCCCC"/>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border>
    <border>
      <right/>
    </border>
    <border>
      <left/>
      <top style="thin">
        <color rgb="FFCCCCCC"/>
      </top>
      <bottom/>
    </border>
    <border>
      <right/>
      <top style="thin">
        <color rgb="FFCCCCCC"/>
      </top>
      <bottom/>
    </border>
    <border>
      <left style="thin">
        <color rgb="FF000000"/>
      </left>
      <right/>
      <top/>
      <bottom/>
    </border>
    <border>
      <left style="thin">
        <color rgb="FFD8D8D8"/>
      </left>
      <right style="thin">
        <color rgb="FFD8D8D8"/>
      </right>
      <top style="thin">
        <color rgb="FFD8D8D8"/>
      </top>
      <bottom style="thin">
        <color rgb="FFD8D8D8"/>
      </bottom>
    </border>
    <border>
      <left style="thin">
        <color rgb="FFCCCCCC"/>
      </left>
      <top/>
      <bottom/>
    </border>
    <border>
      <left/>
      <right/>
      <top style="thin">
        <color rgb="FFD8D8D8"/>
      </top>
      <bottom/>
    </border>
    <border>
      <top style="thin">
        <color rgb="FFD8D8D8"/>
      </top>
    </border>
    <border>
      <right style="thin">
        <color rgb="FFD8D8D8"/>
      </right>
      <top style="thin">
        <color rgb="FFD8D8D8"/>
      </top>
    </border>
    <border>
      <left style="thin">
        <color rgb="FFCCCCCC"/>
      </left>
      <right style="thin">
        <color rgb="FFCCCCCC"/>
      </right>
      <top style="thin">
        <color rgb="FFCCCCCC"/>
      </top>
      <bottom/>
    </border>
    <border>
      <left style="thin">
        <color rgb="FFD8D8D8"/>
      </left>
      <right style="thin">
        <color rgb="FFD8D8D8"/>
      </right>
      <top style="thin">
        <color rgb="FFD8D8D8"/>
      </top>
      <bottom/>
    </border>
    <border>
      <right style="thin">
        <color rgb="FFD8D8D8"/>
      </right>
    </border>
    <border>
      <left/>
      <right style="thin">
        <color rgb="FFD8D8D8"/>
      </right>
      <top style="thin">
        <color rgb="FFD8D8D8"/>
      </top>
      <bottom style="thin">
        <color rgb="FFD8D8D8"/>
      </bottom>
    </border>
    <border>
      <left style="thin">
        <color rgb="FFD8D8D8"/>
      </left>
    </border>
    <border>
      <left style="thin">
        <color rgb="FFD8D8D8"/>
      </left>
      <bottom style="thin">
        <color rgb="FFD8D8D8"/>
      </bottom>
    </border>
    <border>
      <bottom style="thin">
        <color rgb="FFD8D8D8"/>
      </bottom>
    </border>
    <border>
      <right style="thin">
        <color rgb="FFD8D8D8"/>
      </right>
      <bottom style="thin">
        <color rgb="FFD8D8D8"/>
      </bottom>
    </border>
  </borders>
  <cellStyleXfs count="1">
    <xf borderId="0" fillId="0" fontId="0" numFmtId="0" applyAlignment="1" applyFont="1"/>
  </cellStyleXfs>
  <cellXfs count="140">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vertical="center"/>
    </xf>
    <xf borderId="2" fillId="3" fontId="2" numFmtId="0" xfId="0" applyAlignment="1" applyBorder="1" applyFill="1" applyFont="1">
      <alignment horizontal="center" vertical="center"/>
    </xf>
    <xf borderId="3" fillId="0" fontId="3" numFmtId="0" xfId="0" applyBorder="1" applyFont="1"/>
    <xf borderId="4" fillId="0" fontId="3" numFmtId="0" xfId="0" applyBorder="1" applyFont="1"/>
    <xf borderId="5" fillId="4" fontId="1" numFmtId="0" xfId="0" applyBorder="1" applyFill="1" applyFont="1"/>
    <xf borderId="6" fillId="5" fontId="4" numFmtId="0" xfId="0" applyAlignment="1" applyBorder="1" applyFill="1" applyFont="1">
      <alignment horizontal="center" shrinkToFit="0" vertical="center" wrapText="1"/>
    </xf>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13" fillId="5" fontId="5" numFmtId="0" xfId="0" applyAlignment="1" applyBorder="1" applyFont="1">
      <alignment horizontal="center" shrinkToFit="0" vertical="center" wrapText="1"/>
    </xf>
    <xf borderId="14" fillId="0" fontId="3" numFmtId="0" xfId="0" applyBorder="1" applyFont="1"/>
    <xf borderId="1" fillId="6" fontId="2" numFmtId="0" xfId="0" applyAlignment="1" applyBorder="1" applyFill="1" applyFont="1">
      <alignment horizontal="center" vertical="center"/>
    </xf>
    <xf borderId="15" fillId="0" fontId="3" numFmtId="0" xfId="0" applyBorder="1" applyFont="1"/>
    <xf borderId="0" fillId="0" fontId="1" numFmtId="0" xfId="0" applyAlignment="1" applyFont="1">
      <alignment horizontal="left"/>
    </xf>
    <xf borderId="0" fillId="0" fontId="2" numFmtId="0" xfId="0" applyAlignment="1" applyFont="1">
      <alignment horizontal="center" vertical="center"/>
    </xf>
    <xf borderId="13" fillId="4" fontId="6" numFmtId="164" xfId="0" applyAlignment="1" applyBorder="1" applyFont="1" applyNumberFormat="1">
      <alignment horizontal="center" shrinkToFit="0" vertical="center" wrapText="1"/>
    </xf>
    <xf borderId="2" fillId="3" fontId="1" numFmtId="0" xfId="0" applyAlignment="1" applyBorder="1" applyFont="1">
      <alignment horizontal="left"/>
    </xf>
    <xf borderId="0" fillId="0" fontId="1" numFmtId="3" xfId="0" applyAlignment="1" applyFont="1" applyNumberFormat="1">
      <alignment horizontal="left"/>
    </xf>
    <xf borderId="1" fillId="7" fontId="2" numFmtId="0" xfId="0" applyAlignment="1" applyBorder="1" applyFill="1" applyFont="1">
      <alignment horizontal="center" vertical="center"/>
    </xf>
    <xf borderId="16" fillId="5" fontId="5" numFmtId="0" xfId="0" applyAlignment="1" applyBorder="1" applyFont="1">
      <alignment horizontal="center" vertical="center"/>
    </xf>
    <xf borderId="2" fillId="6" fontId="1" numFmtId="0" xfId="0" applyAlignment="1" applyBorder="1" applyFont="1">
      <alignment horizontal="left"/>
    </xf>
    <xf borderId="0" fillId="0" fontId="1" numFmtId="0" xfId="0" applyAlignment="1" applyFont="1">
      <alignment horizontal="left" shrinkToFit="0" wrapText="1"/>
    </xf>
    <xf borderId="0" fillId="0" fontId="1" numFmtId="0" xfId="0" applyAlignment="1" applyFont="1">
      <alignment horizontal="left" shrinkToFit="0" vertical="top" wrapText="1"/>
    </xf>
    <xf borderId="16" fillId="4" fontId="7" numFmtId="0" xfId="0" applyAlignment="1" applyBorder="1" applyFont="1">
      <alignment vertical="center"/>
    </xf>
    <xf borderId="16" fillId="4" fontId="6" numFmtId="165" xfId="0" applyAlignment="1" applyBorder="1" applyFont="1" applyNumberFormat="1">
      <alignment vertical="center"/>
    </xf>
    <xf borderId="0" fillId="0" fontId="1" numFmtId="0" xfId="0" applyAlignment="1" applyFont="1">
      <alignment horizontal="left" vertical="center"/>
    </xf>
    <xf borderId="17" fillId="4" fontId="7" numFmtId="0" xfId="0" applyAlignment="1" applyBorder="1" applyFont="1">
      <alignment vertical="center"/>
    </xf>
    <xf borderId="0" fillId="0" fontId="1" numFmtId="166" xfId="0" applyAlignment="1" applyFont="1" applyNumberFormat="1">
      <alignment horizontal="left"/>
    </xf>
    <xf borderId="1" fillId="6" fontId="1" numFmtId="0" xfId="0" applyAlignment="1" applyBorder="1" applyFont="1">
      <alignment horizontal="left" shrinkToFit="0" vertical="center" wrapText="1"/>
    </xf>
    <xf borderId="0" fillId="0" fontId="1" numFmtId="165" xfId="0" applyAlignment="1" applyFont="1" applyNumberFormat="1">
      <alignment horizontal="left"/>
    </xf>
    <xf borderId="5" fillId="6" fontId="1" numFmtId="0" xfId="0" applyAlignment="1" applyBorder="1" applyFont="1">
      <alignment horizontal="left"/>
    </xf>
    <xf borderId="17" fillId="4" fontId="6" numFmtId="165" xfId="0" applyAlignment="1" applyBorder="1" applyFont="1" applyNumberFormat="1">
      <alignment vertical="center"/>
    </xf>
    <xf borderId="18" fillId="0" fontId="3" numFmtId="0" xfId="0" applyBorder="1" applyFont="1"/>
    <xf borderId="19" fillId="0" fontId="3" numFmtId="0" xfId="0" applyBorder="1" applyFont="1"/>
    <xf borderId="6" fillId="8" fontId="5" numFmtId="0" xfId="0" applyAlignment="1" applyBorder="1" applyFill="1" applyFont="1">
      <alignment horizontal="center" shrinkToFit="0" vertical="center" wrapText="1"/>
    </xf>
    <xf borderId="16" fillId="9" fontId="7" numFmtId="0" xfId="0" applyAlignment="1" applyBorder="1" applyFill="1" applyFont="1">
      <alignment vertical="center"/>
    </xf>
    <xf borderId="20" fillId="8" fontId="5" numFmtId="0" xfId="0" applyAlignment="1" applyBorder="1" applyFont="1">
      <alignment horizontal="center" shrinkToFit="0" vertical="center" wrapText="1"/>
    </xf>
    <xf borderId="16" fillId="9" fontId="6" numFmtId="167" xfId="0" applyAlignment="1" applyBorder="1" applyFont="1" applyNumberFormat="1">
      <alignment vertical="center"/>
    </xf>
    <xf borderId="21" fillId="0" fontId="3" numFmtId="0" xfId="0" applyBorder="1" applyFont="1"/>
    <xf borderId="16" fillId="0" fontId="1" numFmtId="0" xfId="0" applyBorder="1" applyFont="1"/>
    <xf borderId="17" fillId="9" fontId="7" numFmtId="0" xfId="0" applyAlignment="1" applyBorder="1" applyFont="1">
      <alignment vertical="center"/>
    </xf>
    <xf borderId="17" fillId="9" fontId="6" numFmtId="167" xfId="0" applyAlignment="1" applyBorder="1" applyFont="1" applyNumberFormat="1">
      <alignment vertical="center"/>
    </xf>
    <xf borderId="5" fillId="4" fontId="1" numFmtId="167" xfId="0" applyBorder="1" applyFont="1" applyNumberFormat="1"/>
    <xf borderId="5" fillId="4" fontId="1" numFmtId="10" xfId="0" applyBorder="1" applyFont="1" applyNumberFormat="1"/>
    <xf borderId="17" fillId="4" fontId="7" numFmtId="10" xfId="0" applyAlignment="1" applyBorder="1" applyFont="1" applyNumberFormat="1">
      <alignment vertical="center"/>
    </xf>
    <xf borderId="17" fillId="4" fontId="6" numFmtId="10" xfId="0" applyAlignment="1" applyBorder="1" applyFont="1" applyNumberFormat="1">
      <alignment vertical="center"/>
    </xf>
    <xf borderId="0" fillId="0" fontId="1" numFmtId="10" xfId="0" applyFont="1" applyNumberFormat="1"/>
    <xf borderId="17" fillId="4" fontId="6" numFmtId="2" xfId="0" applyAlignment="1" applyBorder="1" applyFont="1" applyNumberFormat="1">
      <alignment vertical="center"/>
    </xf>
    <xf borderId="22" fillId="7" fontId="1" numFmtId="2" xfId="0" applyAlignment="1" applyBorder="1" applyFont="1" applyNumberFormat="1">
      <alignment vertical="center"/>
    </xf>
    <xf borderId="16" fillId="9" fontId="6" numFmtId="168" xfId="0" applyAlignment="1" applyBorder="1" applyFont="1" applyNumberFormat="1">
      <alignment vertical="center"/>
    </xf>
    <xf borderId="5" fillId="4" fontId="1" numFmtId="165" xfId="0" applyAlignment="1" applyBorder="1" applyFont="1" applyNumberFormat="1">
      <alignment horizontal="center" shrinkToFit="0" vertical="center" wrapText="1"/>
    </xf>
    <xf borderId="5" fillId="4" fontId="1" numFmtId="0" xfId="0" applyAlignment="1" applyBorder="1" applyFont="1">
      <alignment horizontal="left" shrinkToFit="0" vertical="center" wrapText="1"/>
    </xf>
    <xf borderId="23" fillId="5" fontId="5" numFmtId="0" xfId="0" applyAlignment="1" applyBorder="1" applyFont="1">
      <alignment horizontal="center" shrinkToFit="0" vertical="center" wrapText="1"/>
    </xf>
    <xf borderId="5" fillId="4" fontId="1" numFmtId="169" xfId="0" applyAlignment="1" applyBorder="1" applyFont="1" applyNumberFormat="1">
      <alignment horizontal="center" shrinkToFit="0" vertical="center" wrapText="1"/>
    </xf>
    <xf borderId="5" fillId="4" fontId="1" numFmtId="9" xfId="0" applyAlignment="1" applyBorder="1" applyFont="1" applyNumberFormat="1">
      <alignment horizontal="center" shrinkToFit="0" vertical="center" wrapText="1"/>
    </xf>
    <xf borderId="23" fillId="4" fontId="7" numFmtId="0" xfId="0" applyAlignment="1" applyBorder="1" applyFont="1">
      <alignment horizontal="left" shrinkToFit="0" vertical="center" wrapText="1"/>
    </xf>
    <xf borderId="5" fillId="4" fontId="1" numFmtId="165" xfId="0" applyBorder="1" applyFont="1" applyNumberFormat="1"/>
    <xf borderId="23" fillId="4" fontId="6" numFmtId="9" xfId="0" applyAlignment="1" applyBorder="1" applyFont="1" applyNumberFormat="1">
      <alignment horizontal="center" shrinkToFit="0" vertical="center" wrapText="1"/>
    </xf>
    <xf borderId="5" fillId="4" fontId="1" numFmtId="170" xfId="0" applyBorder="1" applyFont="1" applyNumberFormat="1"/>
    <xf borderId="23" fillId="0" fontId="1" numFmtId="10" xfId="0" applyAlignment="1" applyBorder="1" applyFont="1" applyNumberFormat="1">
      <alignment horizontal="center" vertical="center"/>
    </xf>
    <xf borderId="23" fillId="9" fontId="7" numFmtId="0" xfId="0" applyAlignment="1" applyBorder="1" applyFont="1">
      <alignment horizontal="left" shrinkToFit="0" vertical="center" wrapText="1"/>
    </xf>
    <xf borderId="23" fillId="9" fontId="6" numFmtId="171" xfId="0" applyAlignment="1" applyBorder="1" applyFont="1" applyNumberFormat="1">
      <alignment horizontal="center" shrinkToFit="0" vertical="center" wrapText="1"/>
    </xf>
    <xf borderId="24" fillId="5" fontId="4" numFmtId="0" xfId="0" applyAlignment="1" applyBorder="1" applyFont="1">
      <alignment horizontal="left" shrinkToFit="0" vertical="center" wrapText="1"/>
    </xf>
    <xf borderId="24" fillId="5" fontId="4" numFmtId="0" xfId="0" applyAlignment="1" applyBorder="1" applyFont="1">
      <alignment horizontal="center" shrinkToFit="0" vertical="center" wrapText="1"/>
    </xf>
    <xf borderId="25" fillId="4" fontId="1" numFmtId="0" xfId="0" applyBorder="1" applyFont="1"/>
    <xf borderId="0" fillId="0" fontId="1" numFmtId="165" xfId="0" applyFont="1" applyNumberFormat="1"/>
    <xf borderId="26" fillId="0" fontId="1" numFmtId="0" xfId="0" applyBorder="1" applyFont="1"/>
    <xf borderId="24" fillId="10" fontId="5" numFmtId="0" xfId="0" applyAlignment="1" applyBorder="1" applyFill="1" applyFont="1">
      <alignment horizontal="left" shrinkToFit="0" vertical="center" wrapText="1"/>
    </xf>
    <xf borderId="24" fillId="11" fontId="7" numFmtId="0" xfId="0" applyAlignment="1" applyBorder="1" applyFill="1" applyFont="1">
      <alignment horizontal="center" shrinkToFit="0" vertical="center" wrapText="1"/>
    </xf>
    <xf borderId="27" fillId="0" fontId="1" numFmtId="0" xfId="0" applyBorder="1" applyFont="1"/>
    <xf borderId="28" fillId="5" fontId="5" numFmtId="0" xfId="0" applyAlignment="1" applyBorder="1" applyFont="1">
      <alignment horizontal="center" shrinkToFit="0" vertical="center" wrapText="1"/>
    </xf>
    <xf borderId="13" fillId="5" fontId="5" numFmtId="165" xfId="0" applyAlignment="1" applyBorder="1" applyFont="1" applyNumberFormat="1">
      <alignment horizontal="center" shrinkToFit="0" vertical="center" wrapText="1"/>
    </xf>
    <xf borderId="29" fillId="4" fontId="7" numFmtId="0" xfId="0" applyAlignment="1" applyBorder="1" applyFont="1">
      <alignment horizontal="left" shrinkToFit="0" vertical="center" wrapText="1"/>
    </xf>
    <xf borderId="0" fillId="0" fontId="8" numFmtId="0" xfId="0" applyFont="1"/>
    <xf borderId="16" fillId="4" fontId="9" numFmtId="172" xfId="0" applyAlignment="1" applyBorder="1" applyFont="1" applyNumberFormat="1">
      <alignment horizontal="left" shrinkToFit="0" vertical="center" wrapText="1"/>
    </xf>
    <xf borderId="13" fillId="4" fontId="7" numFmtId="0" xfId="0" applyAlignment="1" applyBorder="1" applyFont="1">
      <alignment horizontal="left" shrinkToFit="0" vertical="center" wrapText="1"/>
    </xf>
    <xf borderId="13" fillId="4" fontId="6" numFmtId="165" xfId="0" applyAlignment="1" applyBorder="1" applyFont="1" applyNumberFormat="1">
      <alignment horizontal="center" shrinkToFit="0" vertical="center" wrapText="1"/>
    </xf>
    <xf borderId="16" fillId="4" fontId="9" numFmtId="173" xfId="0" applyAlignment="1" applyBorder="1" applyFont="1" applyNumberFormat="1">
      <alignment shrinkToFit="0" vertical="center" wrapText="1"/>
    </xf>
    <xf borderId="23" fillId="4" fontId="6" numFmtId="3" xfId="0" applyAlignment="1" applyBorder="1" applyFont="1" applyNumberFormat="1">
      <alignment horizontal="center" shrinkToFit="0" vertical="center" wrapText="1"/>
    </xf>
    <xf borderId="13" fillId="9" fontId="7" numFmtId="0" xfId="0" applyAlignment="1" applyBorder="1" applyFont="1">
      <alignment horizontal="left" shrinkToFit="0" vertical="center" wrapText="1"/>
    </xf>
    <xf borderId="16" fillId="4" fontId="9" numFmtId="165" xfId="0" applyAlignment="1" applyBorder="1" applyFont="1" applyNumberFormat="1">
      <alignment horizontal="center" shrinkToFit="0" vertical="center" wrapText="1"/>
    </xf>
    <xf borderId="13" fillId="9" fontId="6" numFmtId="171" xfId="0" applyAlignment="1" applyBorder="1" applyFont="1" applyNumberFormat="1">
      <alignment horizontal="center" shrinkToFit="0" vertical="center" wrapText="1"/>
    </xf>
    <xf borderId="16" fillId="12" fontId="10" numFmtId="165" xfId="0" applyAlignment="1" applyBorder="1" applyFill="1" applyFont="1" applyNumberFormat="1">
      <alignment horizontal="center" shrinkToFit="0" vertical="center" wrapText="1"/>
    </xf>
    <xf borderId="16" fillId="12" fontId="10" numFmtId="0" xfId="0" applyAlignment="1" applyBorder="1" applyFont="1">
      <alignment horizontal="center" shrinkToFit="0" vertical="center" wrapText="1"/>
    </xf>
    <xf borderId="0" fillId="0" fontId="1" numFmtId="2" xfId="0" applyFont="1" applyNumberFormat="1"/>
    <xf borderId="16" fillId="7" fontId="2" numFmtId="172" xfId="0" applyAlignment="1" applyBorder="1" applyFont="1" applyNumberFormat="1">
      <alignment horizontal="left" shrinkToFit="0" vertical="center" wrapText="1"/>
    </xf>
    <xf borderId="16" fillId="13" fontId="9" numFmtId="173" xfId="0" applyAlignment="1" applyBorder="1" applyFill="1" applyFont="1" applyNumberFormat="1">
      <alignment shrinkToFit="0" vertical="center" wrapText="1"/>
    </xf>
    <xf borderId="30" fillId="0" fontId="1" numFmtId="0" xfId="0" applyBorder="1" applyFont="1"/>
    <xf borderId="16" fillId="13" fontId="9" numFmtId="165" xfId="0" applyAlignment="1" applyBorder="1" applyFont="1" applyNumberFormat="1">
      <alignment horizontal="center" shrinkToFit="0" vertical="center" wrapText="1"/>
    </xf>
    <xf borderId="23" fillId="0" fontId="11" numFmtId="0" xfId="0" applyBorder="1" applyFont="1"/>
    <xf borderId="13" fillId="4" fontId="6" numFmtId="171" xfId="0" applyAlignment="1" applyBorder="1" applyFont="1" applyNumberFormat="1">
      <alignment horizontal="center" shrinkToFit="0" vertical="center" wrapText="1"/>
    </xf>
    <xf borderId="31" fillId="4" fontId="6" numFmtId="174" xfId="0" applyAlignment="1" applyBorder="1" applyFont="1" applyNumberFormat="1">
      <alignment horizontal="center" shrinkToFit="0" vertical="center" wrapText="1"/>
    </xf>
    <xf borderId="16" fillId="9" fontId="9" numFmtId="172" xfId="0" applyAlignment="1" applyBorder="1" applyFont="1" applyNumberFormat="1">
      <alignment horizontal="left" shrinkToFit="0" vertical="center" wrapText="1"/>
    </xf>
    <xf borderId="23" fillId="4" fontId="6" numFmtId="174" xfId="0" applyAlignment="1" applyBorder="1" applyFont="1" applyNumberFormat="1">
      <alignment horizontal="center" shrinkToFit="0" vertical="center" wrapText="1"/>
    </xf>
    <xf borderId="13" fillId="9" fontId="6" numFmtId="175" xfId="0" applyAlignment="1" applyBorder="1" applyFont="1" applyNumberFormat="1">
      <alignment horizontal="center" shrinkToFit="0" vertical="center" wrapText="1"/>
    </xf>
    <xf borderId="16" fillId="13" fontId="1" numFmtId="176" xfId="0" applyAlignment="1" applyBorder="1" applyFont="1" applyNumberFormat="1">
      <alignment horizontal="left" shrinkToFit="0" vertical="center" wrapText="1"/>
    </xf>
    <xf borderId="13" fillId="9" fontId="6" numFmtId="165" xfId="0" applyAlignment="1" applyBorder="1" applyFont="1" applyNumberFormat="1">
      <alignment horizontal="center" shrinkToFit="0" vertical="center" wrapText="1"/>
    </xf>
    <xf borderId="5" fillId="13" fontId="1" numFmtId="0" xfId="0" applyBorder="1" applyFont="1"/>
    <xf borderId="5" fillId="13" fontId="7" numFmtId="0" xfId="0" applyAlignment="1" applyBorder="1" applyFont="1">
      <alignment horizontal="left" shrinkToFit="0" vertical="center" wrapText="1"/>
    </xf>
    <xf borderId="5" fillId="13" fontId="6" numFmtId="175" xfId="0" applyAlignment="1" applyBorder="1" applyFont="1" applyNumberFormat="1">
      <alignment horizontal="center" shrinkToFit="0" vertical="center" wrapText="1"/>
    </xf>
    <xf borderId="5" fillId="13" fontId="6" numFmtId="165" xfId="0" applyAlignment="1" applyBorder="1" applyFont="1" applyNumberFormat="1">
      <alignment horizontal="center" shrinkToFit="0" vertical="center" wrapText="1"/>
    </xf>
    <xf borderId="5" fillId="9" fontId="7" numFmtId="0" xfId="0" applyAlignment="1" applyBorder="1" applyFont="1">
      <alignment horizontal="left" shrinkToFit="0" vertical="center" wrapText="1"/>
    </xf>
    <xf borderId="5" fillId="9" fontId="6" numFmtId="175" xfId="0" applyAlignment="1" applyBorder="1" applyFont="1" applyNumberFormat="1">
      <alignment horizontal="center" shrinkToFit="0" vertical="center" wrapText="1"/>
    </xf>
    <xf borderId="5" fillId="9" fontId="6" numFmtId="165" xfId="0" applyAlignment="1" applyBorder="1" applyFont="1" applyNumberFormat="1">
      <alignment horizontal="center" shrinkToFit="0" vertical="center" wrapText="1"/>
    </xf>
    <xf borderId="31" fillId="4" fontId="1" numFmtId="165" xfId="0" applyAlignment="1" applyBorder="1" applyFont="1" applyNumberFormat="1">
      <alignment horizontal="center" vertical="center"/>
    </xf>
    <xf borderId="6" fillId="11" fontId="7" numFmtId="0" xfId="0" applyAlignment="1" applyBorder="1" applyFont="1">
      <alignment horizontal="center" shrinkToFit="0" vertical="center" wrapText="1"/>
    </xf>
    <xf borderId="13" fillId="9" fontId="9" numFmtId="2" xfId="0" applyAlignment="1" applyBorder="1" applyFont="1" applyNumberFormat="1">
      <alignment horizontal="center" shrinkToFit="0" vertical="center" wrapText="1"/>
    </xf>
    <xf borderId="13" fillId="4" fontId="9" numFmtId="2" xfId="0" applyAlignment="1" applyBorder="1" applyFont="1" applyNumberFormat="1">
      <alignment horizontal="center" shrinkToFit="0" vertical="center" wrapText="1"/>
    </xf>
    <xf borderId="23" fillId="4" fontId="1" numFmtId="165" xfId="0" applyAlignment="1" applyBorder="1" applyFont="1" applyNumberFormat="1">
      <alignment horizontal="center" vertical="center"/>
    </xf>
    <xf borderId="0" fillId="0" fontId="1" numFmtId="1" xfId="0" applyFont="1" applyNumberFormat="1"/>
    <xf borderId="13" fillId="4" fontId="6" numFmtId="177" xfId="0" applyAlignment="1" applyBorder="1" applyFont="1" applyNumberFormat="1">
      <alignment horizontal="center" shrinkToFit="0" vertical="center" wrapText="1"/>
    </xf>
    <xf borderId="6" fillId="10" fontId="5" numFmtId="0" xfId="0" applyAlignment="1" applyBorder="1" applyFont="1">
      <alignment horizontal="left" shrinkToFit="0" vertical="center" wrapText="1"/>
    </xf>
    <xf borderId="32" fillId="0" fontId="11" numFmtId="0" xfId="0" applyBorder="1" applyFont="1"/>
    <xf borderId="5" fillId="4" fontId="1" numFmtId="0" xfId="0" applyAlignment="1" applyBorder="1" applyFont="1">
      <alignment horizontal="center"/>
    </xf>
    <xf borderId="13" fillId="12" fontId="12" numFmtId="0" xfId="0" applyAlignment="1" applyBorder="1" applyFont="1">
      <alignment horizontal="left" shrinkToFit="0" vertical="center" wrapText="1"/>
    </xf>
    <xf borderId="13" fillId="12" fontId="12" numFmtId="9" xfId="0" applyAlignment="1" applyBorder="1" applyFont="1" applyNumberFormat="1">
      <alignment horizontal="center" shrinkToFit="0" vertical="center" wrapText="1"/>
    </xf>
    <xf borderId="32" fillId="0" fontId="1" numFmtId="0" xfId="0" applyAlignment="1" applyBorder="1" applyFont="1">
      <alignment shrinkToFit="0" vertical="center" wrapText="1"/>
    </xf>
    <xf borderId="30" fillId="0" fontId="3" numFmtId="0" xfId="0" applyBorder="1" applyFont="1"/>
    <xf borderId="13" fillId="14" fontId="7" numFmtId="0" xfId="0" applyAlignment="1" applyBorder="1" applyFill="1" applyFont="1">
      <alignment horizontal="center" shrinkToFit="0" vertical="center" wrapText="1"/>
    </xf>
    <xf borderId="32" fillId="0" fontId="3" numFmtId="0" xfId="0" applyBorder="1" applyFont="1"/>
    <xf borderId="33" fillId="0" fontId="3" numFmtId="0" xfId="0" applyBorder="1" applyFont="1"/>
    <xf borderId="34" fillId="0" fontId="3" numFmtId="0" xfId="0" applyBorder="1" applyFont="1"/>
    <xf borderId="35" fillId="0" fontId="3" numFmtId="0" xfId="0" applyBorder="1" applyFont="1"/>
    <xf borderId="13" fillId="12" fontId="13" numFmtId="165" xfId="0" applyAlignment="1" applyBorder="1" applyFont="1" applyNumberFormat="1">
      <alignment horizontal="center" shrinkToFit="0" vertical="center" wrapText="1"/>
    </xf>
    <xf borderId="13" fillId="12" fontId="13" numFmtId="178" xfId="0" applyAlignment="1" applyBorder="1" applyFont="1" applyNumberFormat="1">
      <alignment horizontal="center" shrinkToFit="0" vertical="center" wrapText="1"/>
    </xf>
    <xf borderId="13" fillId="4" fontId="9" numFmtId="0" xfId="0" applyAlignment="1" applyBorder="1" applyFont="1">
      <alignment horizontal="left" shrinkToFit="0" vertical="center" wrapText="1"/>
    </xf>
    <xf borderId="0" fillId="0" fontId="1" numFmtId="10" xfId="0" applyAlignment="1" applyFont="1" applyNumberFormat="1">
      <alignment horizontal="center" vertical="center"/>
    </xf>
    <xf borderId="13" fillId="9" fontId="9" numFmtId="0" xfId="0" applyAlignment="1" applyBorder="1" applyFont="1">
      <alignment horizontal="left" shrinkToFit="0" vertical="center" wrapText="1"/>
    </xf>
    <xf borderId="13" fillId="9" fontId="9" numFmtId="9" xfId="0" applyAlignment="1" applyBorder="1" applyFont="1" applyNumberFormat="1">
      <alignment horizontal="center" shrinkToFit="0" vertical="center" wrapText="1"/>
    </xf>
    <xf borderId="13" fillId="4" fontId="9" numFmtId="9" xfId="0" applyAlignment="1" applyBorder="1" applyFont="1" applyNumberFormat="1">
      <alignment horizontal="center" shrinkToFit="0" vertical="center" wrapText="1"/>
    </xf>
    <xf borderId="13" fillId="12" fontId="12" numFmtId="2" xfId="0" applyAlignment="1" applyBorder="1" applyFont="1" applyNumberFormat="1">
      <alignment horizontal="center" shrinkToFit="0" vertical="center" wrapText="1"/>
    </xf>
    <xf borderId="13" fillId="4" fontId="14" numFmtId="2" xfId="0" applyAlignment="1" applyBorder="1" applyFont="1" applyNumberFormat="1">
      <alignment horizontal="center" shrinkToFit="0" vertical="center" wrapText="1"/>
    </xf>
    <xf borderId="13" fillId="9" fontId="9" numFmtId="168" xfId="0" applyAlignment="1" applyBorder="1" applyFont="1" applyNumberFormat="1">
      <alignment horizontal="center" shrinkToFit="0" vertical="center" wrapText="1"/>
    </xf>
    <xf borderId="13" fillId="9" fontId="9" numFmtId="167" xfId="0" applyAlignment="1" applyBorder="1" applyFont="1" applyNumberFormat="1">
      <alignment horizontal="center" shrinkToFit="0" vertical="center" wrapText="1"/>
    </xf>
    <xf borderId="13" fillId="12" fontId="10" numFmtId="165" xfId="0" applyAlignment="1" applyBorder="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total net benefit (QALYs)</c:v>
          </c:tx>
          <c:spPr>
            <a:solidFill>
              <a:srgbClr val="1C4587"/>
            </a:solidFill>
            <a:ln cmpd="sng">
              <a:noFill/>
            </a:ln>
          </c:spPr>
          <c:cat>
            <c:strRef>
              <c:f>DCEA!$C$5:$G$5</c:f>
            </c:strRef>
          </c:cat>
          <c:val>
            <c:numRef>
              <c:f>DCEA!$C$12:$G$12</c:f>
              <c:numCache/>
            </c:numRef>
          </c:val>
        </c:ser>
        <c:ser>
          <c:idx val="1"/>
          <c:order val="1"/>
          <c:tx>
            <c:v>#REF!</c:v>
          </c:tx>
          <c:spPr>
            <a:solidFill>
              <a:srgbClr val="38761D"/>
            </a:solidFill>
            <a:ln cmpd="sng">
              <a:noFill/>
            </a:ln>
          </c:spPr>
          <c:cat>
            <c:strRef>
              <c:f>DCEA!$C$5:$G$5</c:f>
            </c:strRef>
          </c:cat>
          <c:val>
            <c:numRef>
              <c:f>oppcost!$C$7:$G$7</c:f>
              <c:numCache/>
            </c:numRef>
          </c:val>
        </c:ser>
        <c:axId val="1130539321"/>
        <c:axId val="1583883497"/>
      </c:barChart>
      <c:catAx>
        <c:axId val="11305393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1" i="0">
                <a:solidFill>
                  <a:srgbClr val="000000"/>
                </a:solidFill>
                <a:latin typeface="+mn-lt"/>
              </a:defRPr>
            </a:pPr>
          </a:p>
        </c:txPr>
        <c:crossAx val="1583883497"/>
      </c:catAx>
      <c:valAx>
        <c:axId val="1583883497"/>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130539321"/>
      </c:valAx>
    </c:plotArea>
    <c:legend>
      <c:legendPos val="b"/>
      <c:layout>
        <c:manualLayout>
          <c:xMode val="edge"/>
          <c:yMode val="edge"/>
          <c:x val="0.14191516115734154"/>
          <c:y val="0.9376400994858343"/>
        </c:manualLayout>
      </c:layout>
      <c:overlay val="0"/>
      <c:txPr>
        <a:bodyPr/>
        <a:lstStyle/>
        <a:p>
          <a:pPr lvl="0">
            <a:defRPr b="0">
              <a:solidFill>
                <a:srgbClr val="1A1A1A"/>
              </a:solidFill>
              <a:latin typeface="+mn-lt"/>
            </a:defRPr>
          </a:pPr>
        </a:p>
      </c:txPr>
    </c:legend>
    <c:plotVisOnly val="1"/>
  </c:chart>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495300</xdr:colOff>
      <xdr:row>15</xdr:row>
      <xdr:rowOff>180975</xdr:rowOff>
    </xdr:from>
    <xdr:ext cx="6896100" cy="45815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2F1DA"/>
    <pageSetUpPr/>
  </sheetPr>
  <sheetViews>
    <sheetView workbookViewId="0"/>
  </sheetViews>
  <sheetFormatPr customHeight="1" defaultColWidth="12.63" defaultRowHeight="15.0"/>
  <cols>
    <col customWidth="1" min="1" max="3" width="8.63"/>
    <col customWidth="1" min="4" max="4" width="15.25"/>
    <col customWidth="1" min="5" max="5" width="8.63"/>
    <col customWidth="1" min="6" max="6" width="21.0"/>
    <col customWidth="1" min="7" max="26" width="8.63"/>
  </cols>
  <sheetData>
    <row r="1" ht="28.5" customHeight="1">
      <c r="A1" s="1"/>
      <c r="B1" s="3" t="s">
        <v>1</v>
      </c>
      <c r="C1" s="5"/>
      <c r="D1" s="5"/>
      <c r="E1" s="5"/>
      <c r="F1" s="9"/>
      <c r="G1" s="1"/>
      <c r="H1" s="1"/>
      <c r="I1" s="1"/>
      <c r="J1" s="1"/>
      <c r="K1" s="1"/>
      <c r="L1" s="1"/>
      <c r="M1" s="1"/>
      <c r="N1" s="1"/>
      <c r="O1" s="1"/>
      <c r="P1" s="1"/>
      <c r="Q1" s="1"/>
      <c r="R1" s="1"/>
      <c r="S1" s="1"/>
      <c r="T1" s="1"/>
      <c r="U1" s="1"/>
      <c r="V1" s="1"/>
      <c r="W1" s="1"/>
      <c r="X1" s="1"/>
      <c r="Y1" s="1"/>
      <c r="Z1" s="1"/>
    </row>
    <row r="2" ht="12.75" customHeight="1">
      <c r="B2" s="16" t="s">
        <v>5</v>
      </c>
      <c r="C2" s="4"/>
      <c r="D2" s="4"/>
      <c r="E2" s="4"/>
      <c r="F2" s="8"/>
      <c r="G2" s="1"/>
      <c r="H2" s="1"/>
    </row>
    <row r="3" ht="12.75" customHeight="1">
      <c r="B3" s="11"/>
      <c r="C3" s="12"/>
      <c r="D3" s="12"/>
      <c r="E3" s="12"/>
      <c r="F3" s="15"/>
      <c r="G3" s="1"/>
      <c r="H3" s="1"/>
    </row>
    <row r="4" ht="20.25" customHeight="1">
      <c r="B4" s="19" t="s">
        <v>4</v>
      </c>
      <c r="E4" s="19" t="s">
        <v>6</v>
      </c>
      <c r="G4" s="1"/>
      <c r="H4" s="1"/>
    </row>
    <row r="5" ht="12.75" customHeight="1">
      <c r="A5" s="1"/>
      <c r="B5" s="21" t="s">
        <v>7</v>
      </c>
      <c r="C5" s="5"/>
      <c r="D5" s="9"/>
      <c r="E5" s="21">
        <v>0.098</v>
      </c>
      <c r="F5" s="9"/>
      <c r="G5" s="1"/>
      <c r="H5" s="1"/>
      <c r="I5" s="1"/>
      <c r="J5" s="1"/>
      <c r="K5" s="1"/>
      <c r="L5" s="1"/>
      <c r="M5" s="1"/>
      <c r="N5" s="1"/>
      <c r="O5" s="1"/>
      <c r="P5" s="1"/>
      <c r="Q5" s="1"/>
      <c r="R5" s="1"/>
      <c r="S5" s="1"/>
      <c r="T5" s="1"/>
      <c r="U5" s="1"/>
      <c r="V5" s="1"/>
      <c r="W5" s="1"/>
      <c r="X5" s="1"/>
      <c r="Y5" s="1"/>
      <c r="Z5" s="1"/>
    </row>
    <row r="6" ht="12.75" customHeight="1">
      <c r="B6" s="18" t="s">
        <v>9</v>
      </c>
      <c r="E6" s="18" t="s">
        <v>10</v>
      </c>
      <c r="G6" s="1"/>
      <c r="H6" s="1"/>
    </row>
    <row r="7" ht="12.75" customHeight="1">
      <c r="B7" s="25" t="s">
        <v>11</v>
      </c>
      <c r="C7" s="5"/>
      <c r="D7" s="9"/>
      <c r="E7" s="25" t="s">
        <v>17</v>
      </c>
      <c r="F7" s="9"/>
      <c r="G7" s="1"/>
      <c r="H7" s="1"/>
    </row>
    <row r="8" ht="12.75" customHeight="1">
      <c r="B8" s="18" t="s">
        <v>19</v>
      </c>
      <c r="E8" s="18" t="s">
        <v>21</v>
      </c>
      <c r="G8" s="1"/>
      <c r="H8" s="1"/>
    </row>
    <row r="9" ht="12.75" customHeight="1">
      <c r="B9" s="21" t="s">
        <v>22</v>
      </c>
      <c r="C9" s="5"/>
      <c r="D9" s="9"/>
      <c r="E9" s="21" t="s">
        <v>24</v>
      </c>
      <c r="F9" s="9"/>
      <c r="G9" s="1"/>
      <c r="H9" s="1"/>
    </row>
    <row r="10" ht="12.75" customHeight="1">
      <c r="B10" s="18" t="s">
        <v>28</v>
      </c>
      <c r="E10" s="18" t="s">
        <v>29</v>
      </c>
      <c r="G10" s="1"/>
      <c r="H10" s="1"/>
    </row>
    <row r="11" ht="12.75" customHeight="1">
      <c r="B11" s="25" t="s">
        <v>31</v>
      </c>
      <c r="C11" s="5"/>
      <c r="D11" s="9"/>
      <c r="E11" s="25" t="s">
        <v>33</v>
      </c>
      <c r="F11" s="9"/>
      <c r="G11" s="1"/>
      <c r="H11" s="1"/>
    </row>
    <row r="12" ht="12.75" customHeight="1">
      <c r="B12" s="18" t="s">
        <v>35</v>
      </c>
      <c r="E12" s="18" t="s">
        <v>36</v>
      </c>
      <c r="G12" s="1"/>
      <c r="H12" s="1"/>
    </row>
    <row r="13" ht="12.75" customHeight="1">
      <c r="B13" s="21" t="s">
        <v>38</v>
      </c>
      <c r="C13" s="5"/>
      <c r="D13" s="9"/>
      <c r="E13" s="21" t="s">
        <v>39</v>
      </c>
      <c r="F13" s="9"/>
      <c r="G13" s="1"/>
      <c r="H13" s="1"/>
    </row>
    <row r="14" ht="12.75" customHeight="1">
      <c r="B14" s="18" t="s">
        <v>40</v>
      </c>
      <c r="E14" s="18" t="s">
        <v>41</v>
      </c>
      <c r="G14" s="1"/>
      <c r="H14" s="30"/>
    </row>
    <row r="15" ht="12.75" customHeight="1">
      <c r="B15" s="25" t="s">
        <v>44</v>
      </c>
      <c r="C15" s="5"/>
      <c r="D15" s="9"/>
      <c r="E15" s="33" t="s">
        <v>46</v>
      </c>
      <c r="F15" s="8"/>
      <c r="G15" s="1"/>
      <c r="H15" s="1"/>
    </row>
    <row r="16" ht="12.75" customHeight="1">
      <c r="B16" s="35"/>
      <c r="C16" s="35"/>
      <c r="D16" s="35"/>
      <c r="E16" s="37"/>
      <c r="F16" s="38"/>
      <c r="G16" s="1"/>
      <c r="H16" s="1"/>
    </row>
    <row r="17" ht="12.75" customHeight="1">
      <c r="B17" s="35"/>
      <c r="C17" s="35"/>
      <c r="D17" s="35"/>
      <c r="E17" s="37"/>
      <c r="F17" s="38"/>
    </row>
    <row r="18" ht="12.75" customHeight="1">
      <c r="B18" s="35"/>
      <c r="C18" s="35"/>
      <c r="D18" s="35"/>
      <c r="E18" s="11"/>
      <c r="F18" s="15"/>
    </row>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6">
    <mergeCell ref="B1:F1"/>
    <mergeCell ref="B2:F3"/>
    <mergeCell ref="B4:D4"/>
    <mergeCell ref="E4:F4"/>
    <mergeCell ref="B5:D5"/>
    <mergeCell ref="E5:F5"/>
    <mergeCell ref="E6:F6"/>
    <mergeCell ref="B6:D6"/>
    <mergeCell ref="B7:D7"/>
    <mergeCell ref="E7:F7"/>
    <mergeCell ref="B8:D8"/>
    <mergeCell ref="E8:F8"/>
    <mergeCell ref="B9:D9"/>
    <mergeCell ref="E9:F9"/>
    <mergeCell ref="B13:D13"/>
    <mergeCell ref="B14:D14"/>
    <mergeCell ref="E14:F14"/>
    <mergeCell ref="B15:D15"/>
    <mergeCell ref="E15:F18"/>
    <mergeCell ref="B10:D10"/>
    <mergeCell ref="E10:F10"/>
    <mergeCell ref="B11:D11"/>
    <mergeCell ref="E11:F11"/>
    <mergeCell ref="B12:D12"/>
    <mergeCell ref="E12:F12"/>
    <mergeCell ref="E13:F1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2.63" defaultRowHeight="15.0"/>
  <cols>
    <col customWidth="1" min="1" max="1" width="8.63"/>
    <col customWidth="1" min="2" max="2" width="36.63"/>
    <col customWidth="1" min="3" max="26" width="8.63"/>
  </cols>
  <sheetData>
    <row r="1" ht="12.75" customHeight="1">
      <c r="A1" s="2" t="s">
        <v>0</v>
      </c>
      <c r="B1" s="4"/>
      <c r="C1" s="4"/>
      <c r="D1" s="4"/>
      <c r="E1" s="4"/>
      <c r="F1" s="4"/>
      <c r="G1" s="8"/>
    </row>
    <row r="2" ht="12.75" customHeight="1">
      <c r="A2" s="11"/>
      <c r="B2" s="12"/>
      <c r="C2" s="12"/>
      <c r="D2" s="12"/>
      <c r="E2" s="12"/>
      <c r="F2" s="12"/>
      <c r="G2" s="15"/>
    </row>
    <row r="3" ht="12.75" customHeight="1"/>
    <row r="4" ht="12.75" customHeight="1">
      <c r="A4" s="23" t="s">
        <v>8</v>
      </c>
      <c r="B4" s="4"/>
      <c r="C4" s="8"/>
      <c r="D4" s="1"/>
      <c r="E4" s="1"/>
      <c r="F4" s="1"/>
      <c r="G4" s="1"/>
    </row>
    <row r="5" ht="12.75" customHeight="1">
      <c r="A5" s="11"/>
      <c r="B5" s="12"/>
      <c r="C5" s="15"/>
      <c r="D5" s="1"/>
      <c r="E5" s="1"/>
      <c r="F5" s="1"/>
      <c r="G5" s="1"/>
    </row>
    <row r="6" ht="12.75" customHeight="1"/>
    <row r="7" ht="13.5" customHeight="1">
      <c r="A7" s="1">
        <v>1.0</v>
      </c>
      <c r="B7" s="26" t="s">
        <v>13</v>
      </c>
    </row>
    <row r="8" ht="12.75" customHeight="1">
      <c r="A8" s="1">
        <v>2.0</v>
      </c>
      <c r="B8" s="27" t="s">
        <v>20</v>
      </c>
    </row>
    <row r="9" ht="12.75" customHeight="1">
      <c r="A9" s="1"/>
    </row>
    <row r="10" ht="12.75" customHeight="1">
      <c r="A10" s="1">
        <v>3.0</v>
      </c>
      <c r="B10" s="18" t="s">
        <v>25</v>
      </c>
    </row>
    <row r="11" ht="12.75" customHeight="1">
      <c r="A11" s="1">
        <v>4.0</v>
      </c>
      <c r="B11" s="18" t="s">
        <v>30</v>
      </c>
    </row>
    <row r="12" ht="12.75" customHeight="1">
      <c r="A12" s="1">
        <v>5.0</v>
      </c>
      <c r="B12" s="18" t="s">
        <v>32</v>
      </c>
    </row>
    <row r="13" ht="12.75" customHeight="1"/>
    <row r="14" ht="12.75" customHeight="1">
      <c r="A14" s="23" t="s">
        <v>34</v>
      </c>
      <c r="B14" s="4"/>
      <c r="C14" s="8"/>
      <c r="D14" s="1"/>
      <c r="E14" s="1"/>
      <c r="F14" s="1"/>
      <c r="G14" s="1"/>
    </row>
    <row r="15" ht="12.75" customHeight="1">
      <c r="A15" s="11"/>
      <c r="B15" s="12"/>
      <c r="C15" s="15"/>
      <c r="D15" s="1"/>
      <c r="E15" s="1"/>
      <c r="F15" s="1"/>
      <c r="G15" s="1"/>
    </row>
    <row r="16" ht="12.75" customHeight="1"/>
    <row r="17" ht="12.75" customHeight="1">
      <c r="A17" s="1">
        <v>1.0</v>
      </c>
      <c r="B17" s="26" t="s">
        <v>42</v>
      </c>
    </row>
    <row r="18" ht="12.75" customHeight="1">
      <c r="A18" s="1"/>
    </row>
    <row r="19" ht="12.75" customHeight="1">
      <c r="A19" s="1"/>
    </row>
    <row r="20" ht="12.75" customHeight="1">
      <c r="A20" s="1">
        <v>2.0</v>
      </c>
      <c r="B20" s="26" t="s">
        <v>45</v>
      </c>
    </row>
    <row r="21" ht="12.75" customHeight="1">
      <c r="A21" s="1"/>
    </row>
    <row r="22" ht="12.75" customHeight="1">
      <c r="A22" s="1">
        <v>3.0</v>
      </c>
      <c r="B22" s="26" t="s">
        <v>48</v>
      </c>
    </row>
    <row r="23" ht="12.75" customHeight="1">
      <c r="A23" s="1"/>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1">
    <mergeCell ref="A14:C15"/>
    <mergeCell ref="B17:G19"/>
    <mergeCell ref="B20:G21"/>
    <mergeCell ref="B22:G23"/>
    <mergeCell ref="A1:G2"/>
    <mergeCell ref="A4:C5"/>
    <mergeCell ref="B7:G7"/>
    <mergeCell ref="B8:G9"/>
    <mergeCell ref="B10:G10"/>
    <mergeCell ref="B11:G11"/>
    <mergeCell ref="B12:G1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392B"/>
    <pageSetUpPr/>
  </sheetPr>
  <sheetViews>
    <sheetView showGridLines="0" workbookViewId="0"/>
  </sheetViews>
  <sheetFormatPr customHeight="1" defaultColWidth="12.63" defaultRowHeight="15.0"/>
  <cols>
    <col customWidth="1" min="1" max="1" width="2.0"/>
    <col customWidth="1" min="2" max="2" width="41.75"/>
    <col customWidth="1" min="3" max="3" width="21.88"/>
    <col customWidth="1" min="4" max="26" width="12.75"/>
  </cols>
  <sheetData>
    <row r="1" ht="30.0" customHeight="1">
      <c r="B1" s="7" t="s">
        <v>2</v>
      </c>
      <c r="C1" s="10"/>
      <c r="D1" s="1"/>
    </row>
    <row r="2" ht="4.5" customHeight="1">
      <c r="B2" s="1"/>
      <c r="D2" s="1"/>
    </row>
    <row r="3" ht="18.0" customHeight="1">
      <c r="B3" s="14" t="s">
        <v>4</v>
      </c>
      <c r="C3" s="14" t="s">
        <v>6</v>
      </c>
      <c r="D3" s="1"/>
    </row>
    <row r="4" ht="18.0" customHeight="1">
      <c r="B4" s="18" t="s">
        <v>7</v>
      </c>
      <c r="C4" s="18">
        <v>0.098</v>
      </c>
      <c r="D4" s="20"/>
    </row>
    <row r="5" ht="18.0" customHeight="1">
      <c r="A5" s="1"/>
      <c r="B5" s="18" t="s">
        <v>9</v>
      </c>
      <c r="C5" s="22">
        <v>1601.0</v>
      </c>
      <c r="D5" s="1"/>
      <c r="E5" s="1"/>
      <c r="F5" s="1"/>
      <c r="G5" s="1"/>
      <c r="H5" s="1"/>
      <c r="I5" s="1"/>
      <c r="J5" s="1"/>
      <c r="K5" s="1"/>
      <c r="L5" s="1"/>
      <c r="M5" s="1"/>
      <c r="N5" s="1"/>
      <c r="O5" s="1"/>
      <c r="P5" s="1"/>
      <c r="Q5" s="1"/>
      <c r="R5" s="1"/>
      <c r="S5" s="1"/>
      <c r="T5" s="1"/>
      <c r="U5" s="1"/>
      <c r="V5" s="1"/>
      <c r="W5" s="1"/>
      <c r="X5" s="1"/>
      <c r="Y5" s="1"/>
      <c r="Z5" s="1"/>
    </row>
    <row r="6" ht="18.0" customHeight="1">
      <c r="A6" s="1"/>
      <c r="B6" s="18" t="s">
        <v>11</v>
      </c>
      <c r="C6" s="22">
        <f>C5/C4</f>
        <v>16336.73469</v>
      </c>
      <c r="D6" s="1"/>
      <c r="E6" s="1"/>
      <c r="F6" s="1"/>
      <c r="G6" s="1"/>
      <c r="H6" s="1"/>
      <c r="I6" s="1"/>
      <c r="J6" s="1"/>
      <c r="K6" s="1"/>
      <c r="L6" s="1"/>
      <c r="M6" s="1"/>
      <c r="N6" s="1"/>
      <c r="O6" s="1"/>
      <c r="P6" s="1"/>
      <c r="Q6" s="1"/>
      <c r="R6" s="1"/>
      <c r="S6" s="1"/>
      <c r="T6" s="1"/>
      <c r="U6" s="1"/>
      <c r="V6" s="1"/>
      <c r="W6" s="1"/>
      <c r="X6" s="1"/>
      <c r="Y6" s="1"/>
      <c r="Z6" s="1"/>
    </row>
    <row r="7" ht="18.0" customHeight="1">
      <c r="B7" s="18" t="s">
        <v>23</v>
      </c>
      <c r="C7" s="22">
        <v>20000.0</v>
      </c>
      <c r="D7" s="1"/>
    </row>
    <row r="8" ht="18.0" customHeight="1">
      <c r="A8" s="1"/>
      <c r="B8" s="18" t="s">
        <v>26</v>
      </c>
      <c r="C8" s="18">
        <v>12936.0</v>
      </c>
      <c r="D8" s="1"/>
      <c r="E8" s="1"/>
      <c r="F8" s="1"/>
      <c r="G8" s="1"/>
      <c r="H8" s="1"/>
      <c r="I8" s="1"/>
      <c r="J8" s="1"/>
      <c r="K8" s="1"/>
      <c r="L8" s="1"/>
      <c r="M8" s="1"/>
      <c r="N8" s="1"/>
      <c r="O8" s="1"/>
      <c r="P8" s="1"/>
      <c r="Q8" s="1"/>
      <c r="R8" s="1"/>
      <c r="S8" s="1"/>
      <c r="T8" s="1"/>
      <c r="U8" s="1"/>
      <c r="V8" s="1"/>
      <c r="W8" s="1"/>
      <c r="X8" s="1"/>
      <c r="Y8" s="1"/>
      <c r="Z8" s="1"/>
    </row>
    <row r="9" ht="18.0" customHeight="1">
      <c r="A9" s="1"/>
      <c r="B9" s="18" t="s">
        <v>37</v>
      </c>
      <c r="C9" s="18">
        <v>20000.0</v>
      </c>
      <c r="D9" s="1"/>
      <c r="E9" s="1"/>
      <c r="F9" s="1"/>
      <c r="G9" s="1"/>
      <c r="H9" s="1"/>
      <c r="I9" s="1"/>
      <c r="J9" s="1"/>
      <c r="K9" s="1"/>
      <c r="L9" s="1"/>
      <c r="M9" s="1"/>
      <c r="N9" s="1"/>
      <c r="O9" s="1"/>
      <c r="P9" s="1"/>
      <c r="Q9" s="1"/>
      <c r="R9" s="1"/>
      <c r="S9" s="1"/>
      <c r="T9" s="1"/>
      <c r="U9" s="1"/>
      <c r="V9" s="1"/>
      <c r="W9" s="1"/>
      <c r="X9" s="1"/>
      <c r="Y9" s="1"/>
      <c r="Z9" s="1"/>
    </row>
    <row r="10" ht="18.0" customHeight="1">
      <c r="B10" s="18" t="s">
        <v>43</v>
      </c>
      <c r="C10" s="32">
        <f>C4-(C5/C9)</f>
        <v>0.01795</v>
      </c>
      <c r="D10" s="1"/>
    </row>
    <row r="11" ht="17.25" customHeight="1">
      <c r="A11" s="1"/>
      <c r="B11" s="18" t="s">
        <v>49</v>
      </c>
      <c r="C11" s="34">
        <f>C4-(C5/C8)</f>
        <v>-0.02576314162</v>
      </c>
      <c r="D11" s="1"/>
      <c r="E11" s="1"/>
      <c r="F11" s="1"/>
      <c r="G11" s="1"/>
      <c r="H11" s="1"/>
      <c r="I11" s="1"/>
      <c r="J11" s="1"/>
      <c r="K11" s="1"/>
      <c r="L11" s="1"/>
      <c r="M11" s="1"/>
      <c r="N11" s="1"/>
      <c r="O11" s="1"/>
      <c r="P11" s="1"/>
      <c r="Q11" s="1"/>
      <c r="R11" s="1"/>
      <c r="S11" s="1"/>
      <c r="T11" s="1"/>
      <c r="U11" s="1"/>
      <c r="V11" s="1"/>
      <c r="W11" s="1"/>
      <c r="X11" s="1"/>
      <c r="Y11" s="1"/>
      <c r="Z11" s="1"/>
    </row>
    <row r="12" ht="17.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7.25" customHeight="1">
      <c r="B13" s="39" t="str">
        <f> IF(C10&gt;0, "✓ Cost-effective at £20,000", "✗ Not cost-effective at £20,000")</f>
        <v>✓ Cost-effective at £20,000</v>
      </c>
      <c r="C13" s="10"/>
      <c r="D13" s="1"/>
    </row>
    <row r="14" ht="15.0" customHeight="1">
      <c r="B14" s="41" t="str">
        <f> IF(C11&gt;0, "✓ Cost-effective at £12,936", "✗ Not cost-effective at £12,936")</f>
        <v>✗ Not cost-effective at £12,936</v>
      </c>
      <c r="C14" s="43"/>
      <c r="D14" s="1"/>
    </row>
    <row r="15" ht="12.75" customHeight="1">
      <c r="B15" s="1"/>
      <c r="C15" s="1"/>
      <c r="D15" s="1"/>
    </row>
    <row r="16" ht="12.75" customHeight="1">
      <c r="B16" s="1"/>
      <c r="C16" s="1"/>
      <c r="D16" s="1"/>
    </row>
    <row r="17" ht="12.75" customHeight="1">
      <c r="B17" s="1"/>
      <c r="C17" s="1"/>
      <c r="D17" s="1"/>
    </row>
    <row r="18" ht="12.75" customHeight="1">
      <c r="B18" s="1"/>
      <c r="C18" s="1"/>
      <c r="D18" s="1"/>
    </row>
    <row r="19" ht="12.75" customHeight="1">
      <c r="B19" s="1"/>
      <c r="C19" s="1"/>
      <c r="D19" s="1"/>
    </row>
    <row r="20" ht="12.75" customHeight="1">
      <c r="B20" s="1"/>
      <c r="C20" s="1"/>
      <c r="D20" s="1"/>
    </row>
    <row r="21" ht="12.75" customHeight="1">
      <c r="B21" s="1"/>
      <c r="C21" s="1"/>
      <c r="D21" s="1"/>
    </row>
    <row r="22" ht="12.75" customHeight="1">
      <c r="B22" s="1"/>
      <c r="C22" s="1"/>
      <c r="D22" s="1"/>
    </row>
    <row r="23" ht="12.75" customHeight="1">
      <c r="B23" s="1"/>
      <c r="C23" s="1"/>
      <c r="D23" s="1"/>
    </row>
    <row r="24" ht="12.75" customHeight="1">
      <c r="B24" s="1"/>
      <c r="C24" s="1"/>
      <c r="D24" s="1"/>
    </row>
    <row r="25" ht="12.75" customHeight="1">
      <c r="B25" s="1"/>
      <c r="C25" s="1"/>
      <c r="D25" s="1"/>
    </row>
    <row r="26" ht="12.75" customHeight="1">
      <c r="B26" s="1"/>
      <c r="C26" s="1"/>
      <c r="D26" s="1"/>
    </row>
    <row r="27" ht="12.75" customHeight="1">
      <c r="B27" s="1"/>
      <c r="C27" s="1"/>
      <c r="D27" s="1"/>
    </row>
    <row r="28" ht="12.75" customHeight="1">
      <c r="B28" s="1"/>
      <c r="C28" s="1"/>
      <c r="D28" s="1"/>
    </row>
    <row r="29" ht="12.75" customHeight="1">
      <c r="B29" s="1"/>
      <c r="C29" s="1"/>
      <c r="D29" s="1"/>
    </row>
    <row r="30" ht="12.75" customHeight="1">
      <c r="B30" s="1"/>
      <c r="C30" s="1"/>
      <c r="D30" s="1"/>
    </row>
    <row r="31" ht="12.75" customHeight="1">
      <c r="B31" s="1"/>
      <c r="C31" s="1"/>
      <c r="D31" s="1"/>
    </row>
    <row r="32" ht="12.75" customHeight="1">
      <c r="B32" s="1"/>
      <c r="C32" s="1"/>
      <c r="D32" s="1"/>
    </row>
    <row r="33" ht="12.75" customHeight="1">
      <c r="B33" s="1"/>
      <c r="C33" s="1"/>
      <c r="D33" s="1"/>
    </row>
    <row r="34" ht="12.75" customHeight="1">
      <c r="B34" s="1"/>
      <c r="C34" s="1"/>
      <c r="D34" s="1"/>
    </row>
    <row r="35" ht="12.75" customHeight="1">
      <c r="B35" s="1"/>
      <c r="C35" s="1"/>
      <c r="D35" s="1"/>
    </row>
    <row r="36" ht="12.75" customHeight="1">
      <c r="B36" s="1"/>
      <c r="C36" s="1"/>
      <c r="D36" s="1"/>
    </row>
    <row r="37" ht="12.75" customHeight="1">
      <c r="B37" s="1"/>
      <c r="C37" s="1"/>
      <c r="D37" s="1"/>
    </row>
    <row r="38" ht="12.75" customHeight="1">
      <c r="B38" s="1"/>
      <c r="C38" s="1"/>
      <c r="D38" s="1"/>
    </row>
    <row r="39" ht="12.75" customHeight="1">
      <c r="B39" s="1"/>
      <c r="C39" s="1"/>
      <c r="D39" s="1"/>
    </row>
    <row r="40" ht="12.75" customHeight="1">
      <c r="B40" s="1"/>
      <c r="C40" s="1"/>
      <c r="D40" s="1"/>
    </row>
    <row r="41" ht="12.75" customHeight="1">
      <c r="B41" s="1"/>
      <c r="C41" s="1"/>
      <c r="D41" s="1"/>
    </row>
    <row r="42" ht="12.75" customHeight="1">
      <c r="B42" s="1"/>
      <c r="C42" s="1"/>
      <c r="D42" s="1"/>
    </row>
    <row r="43" ht="12.75" customHeight="1">
      <c r="B43" s="1"/>
      <c r="C43" s="1"/>
      <c r="D43" s="1"/>
    </row>
    <row r="44" ht="12.75" customHeight="1">
      <c r="B44" s="1"/>
      <c r="C44" s="1"/>
      <c r="D44" s="1"/>
    </row>
    <row r="45" ht="12.75" customHeight="1">
      <c r="B45" s="1"/>
      <c r="C45" s="1"/>
      <c r="D45" s="1"/>
    </row>
    <row r="46" ht="12.75" customHeight="1">
      <c r="B46" s="1"/>
      <c r="C46" s="1"/>
      <c r="D46" s="1"/>
    </row>
    <row r="47" ht="12.75" customHeight="1">
      <c r="B47" s="1"/>
      <c r="C47" s="1"/>
      <c r="D47" s="1"/>
    </row>
    <row r="48" ht="12.75" customHeight="1">
      <c r="B48" s="1"/>
      <c r="C48" s="1"/>
      <c r="D48" s="1"/>
    </row>
    <row r="49" ht="12.75" customHeight="1">
      <c r="B49" s="1"/>
      <c r="C49" s="1"/>
      <c r="D49" s="1"/>
    </row>
    <row r="50" ht="12.75" customHeight="1">
      <c r="B50" s="1"/>
      <c r="C50" s="1"/>
      <c r="D50" s="1"/>
    </row>
    <row r="51" ht="12.75" customHeight="1">
      <c r="B51" s="1"/>
      <c r="C51" s="1"/>
      <c r="D51" s="1"/>
    </row>
    <row r="52" ht="12.75" customHeight="1">
      <c r="B52" s="1"/>
      <c r="C52" s="1"/>
      <c r="D52" s="1"/>
    </row>
    <row r="53" ht="12.75" customHeight="1">
      <c r="B53" s="1"/>
      <c r="C53" s="1"/>
      <c r="D53" s="1"/>
    </row>
    <row r="54" ht="12.75" customHeight="1">
      <c r="B54" s="1"/>
      <c r="C54" s="1"/>
      <c r="D54" s="1"/>
    </row>
    <row r="55" ht="12.75" customHeight="1">
      <c r="B55" s="1"/>
      <c r="C55" s="1"/>
      <c r="D55" s="1"/>
    </row>
    <row r="56" ht="12.75" customHeight="1">
      <c r="B56" s="1"/>
      <c r="C56" s="1"/>
      <c r="D56" s="1"/>
    </row>
    <row r="57" ht="12.75" customHeight="1">
      <c r="B57" s="1"/>
      <c r="C57" s="1"/>
      <c r="D57" s="1"/>
    </row>
    <row r="58" ht="12.75" customHeight="1">
      <c r="B58" s="1"/>
      <c r="C58" s="1"/>
      <c r="D58" s="1"/>
    </row>
    <row r="59" ht="12.75" customHeight="1">
      <c r="B59" s="1"/>
      <c r="C59" s="1"/>
      <c r="D59" s="1"/>
    </row>
    <row r="60" ht="12.75" customHeight="1">
      <c r="B60" s="1"/>
      <c r="C60" s="1"/>
      <c r="D60" s="1"/>
    </row>
    <row r="61" ht="12.75" customHeight="1">
      <c r="B61" s="1"/>
      <c r="C61" s="1"/>
      <c r="D61" s="1"/>
    </row>
    <row r="62" ht="12.75" customHeight="1">
      <c r="B62" s="1"/>
      <c r="C62" s="1"/>
      <c r="D62" s="1"/>
    </row>
    <row r="63" ht="12.75" customHeight="1">
      <c r="B63" s="1"/>
      <c r="C63" s="1"/>
      <c r="D63" s="1"/>
    </row>
    <row r="64" ht="12.75" customHeight="1">
      <c r="B64" s="1"/>
      <c r="C64" s="1"/>
      <c r="D64" s="1"/>
    </row>
    <row r="65" ht="12.75" customHeight="1">
      <c r="B65" s="1"/>
      <c r="C65" s="1"/>
      <c r="D65" s="1"/>
    </row>
    <row r="66" ht="12.75" customHeight="1">
      <c r="B66" s="1"/>
      <c r="C66" s="1"/>
      <c r="D66" s="1"/>
    </row>
    <row r="67" ht="12.75" customHeight="1">
      <c r="B67" s="1"/>
      <c r="C67" s="1"/>
      <c r="D67" s="1"/>
    </row>
    <row r="68" ht="12.75" customHeight="1">
      <c r="B68" s="1"/>
      <c r="C68" s="1"/>
      <c r="D68" s="1"/>
    </row>
    <row r="69" ht="12.75" customHeight="1">
      <c r="B69" s="1"/>
      <c r="C69" s="1"/>
      <c r="D69" s="1"/>
    </row>
    <row r="70" ht="12.75" customHeight="1">
      <c r="B70" s="1"/>
      <c r="C70" s="1"/>
      <c r="D70" s="1"/>
    </row>
    <row r="71" ht="12.75" customHeight="1">
      <c r="B71" s="1"/>
      <c r="C71" s="1"/>
      <c r="D71" s="1"/>
    </row>
    <row r="72" ht="12.75" customHeight="1">
      <c r="B72" s="1"/>
      <c r="C72" s="1"/>
      <c r="D72" s="1"/>
    </row>
    <row r="73" ht="12.75" customHeight="1">
      <c r="B73" s="1"/>
      <c r="C73" s="1"/>
      <c r="D73" s="1"/>
    </row>
    <row r="74" ht="12.75" customHeight="1">
      <c r="B74" s="1"/>
      <c r="C74" s="1"/>
      <c r="D74" s="1"/>
    </row>
    <row r="75" ht="12.75" customHeight="1">
      <c r="B75" s="1"/>
      <c r="C75" s="1"/>
      <c r="D75" s="1"/>
    </row>
    <row r="76" ht="12.75" customHeight="1">
      <c r="B76" s="1"/>
      <c r="C76" s="1"/>
      <c r="D76" s="1"/>
    </row>
    <row r="77" ht="12.75" customHeight="1">
      <c r="B77" s="1"/>
      <c r="C77" s="1"/>
      <c r="D77" s="1"/>
    </row>
    <row r="78" ht="12.75" customHeight="1">
      <c r="B78" s="1"/>
      <c r="C78" s="1"/>
      <c r="D78" s="1"/>
    </row>
    <row r="79" ht="12.75" customHeight="1">
      <c r="B79" s="1"/>
      <c r="C79" s="1"/>
      <c r="D79" s="1"/>
    </row>
    <row r="80" ht="12.75" customHeight="1">
      <c r="B80" s="1"/>
      <c r="C80" s="1"/>
      <c r="D80" s="1"/>
    </row>
    <row r="81" ht="12.75" customHeight="1">
      <c r="B81" s="1"/>
      <c r="C81" s="1"/>
      <c r="D81" s="1"/>
    </row>
    <row r="82" ht="12.75" customHeight="1">
      <c r="B82" s="1"/>
      <c r="C82" s="1"/>
      <c r="D82" s="1"/>
    </row>
    <row r="83" ht="12.75" customHeight="1">
      <c r="B83" s="1"/>
      <c r="C83" s="1"/>
      <c r="D83" s="1"/>
    </row>
    <row r="84" ht="12.75" customHeight="1">
      <c r="B84" s="1"/>
      <c r="C84" s="1"/>
      <c r="D84" s="1"/>
    </row>
    <row r="85" ht="12.75" customHeight="1">
      <c r="B85" s="1"/>
      <c r="C85" s="1"/>
      <c r="D85" s="1"/>
    </row>
    <row r="86" ht="12.75" customHeight="1">
      <c r="B86" s="1"/>
      <c r="C86" s="1"/>
      <c r="D86" s="1"/>
    </row>
    <row r="87" ht="12.75" customHeight="1">
      <c r="B87" s="1"/>
      <c r="C87" s="1"/>
      <c r="D87" s="1"/>
    </row>
    <row r="88" ht="12.75" customHeight="1">
      <c r="B88" s="1"/>
      <c r="C88" s="1"/>
      <c r="D88" s="1"/>
    </row>
    <row r="89" ht="12.75" customHeight="1">
      <c r="B89" s="1"/>
      <c r="C89" s="1"/>
      <c r="D89" s="1"/>
    </row>
    <row r="90" ht="12.75" customHeight="1">
      <c r="B90" s="1"/>
      <c r="C90" s="1"/>
      <c r="D90" s="1"/>
    </row>
    <row r="91" ht="12.75" customHeight="1">
      <c r="B91" s="1"/>
      <c r="C91" s="1"/>
      <c r="D91" s="1"/>
    </row>
    <row r="92" ht="12.75" customHeight="1">
      <c r="B92" s="1"/>
      <c r="C92" s="1"/>
      <c r="D92" s="1"/>
    </row>
    <row r="93" ht="12.75" customHeight="1">
      <c r="B93" s="1"/>
      <c r="C93" s="1"/>
      <c r="D93" s="1"/>
    </row>
    <row r="94" ht="12.75" customHeight="1">
      <c r="B94" s="1"/>
      <c r="C94" s="1"/>
      <c r="D94" s="1"/>
    </row>
    <row r="95" ht="12.75" customHeight="1">
      <c r="B95" s="1"/>
      <c r="C95" s="1"/>
      <c r="D95" s="1"/>
    </row>
    <row r="96" ht="12.75" customHeight="1">
      <c r="B96" s="1"/>
      <c r="C96" s="1"/>
      <c r="D96" s="1"/>
    </row>
    <row r="97" ht="12.75" customHeight="1">
      <c r="B97" s="1"/>
      <c r="C97" s="1"/>
      <c r="D97" s="1"/>
    </row>
    <row r="98" ht="12.75" customHeight="1">
      <c r="B98" s="1"/>
      <c r="C98" s="1"/>
      <c r="D98" s="1"/>
    </row>
    <row r="99" ht="12.75" customHeight="1">
      <c r="B99" s="1"/>
      <c r="C99" s="1"/>
      <c r="D99" s="1"/>
    </row>
    <row r="100" ht="12.75" customHeight="1">
      <c r="B100" s="1"/>
      <c r="C100" s="1"/>
      <c r="D100" s="1"/>
    </row>
    <row r="101" ht="12.75" customHeight="1">
      <c r="B101" s="1"/>
      <c r="C101" s="1"/>
      <c r="D101" s="1"/>
    </row>
    <row r="102" ht="12.75" customHeight="1">
      <c r="B102" s="1"/>
      <c r="C102" s="1"/>
      <c r="D102" s="1"/>
    </row>
    <row r="103" ht="12.75" customHeight="1">
      <c r="B103" s="1"/>
      <c r="C103" s="1"/>
      <c r="D103" s="1"/>
    </row>
    <row r="104" ht="12.75" customHeight="1">
      <c r="B104" s="1"/>
      <c r="C104" s="1"/>
      <c r="D104" s="1"/>
    </row>
    <row r="105" ht="12.75" customHeight="1">
      <c r="B105" s="1"/>
      <c r="C105" s="1"/>
      <c r="D105" s="1"/>
    </row>
    <row r="106" ht="12.75" customHeight="1">
      <c r="B106" s="1"/>
      <c r="C106" s="1"/>
      <c r="D106" s="1"/>
    </row>
    <row r="107" ht="12.75" customHeight="1">
      <c r="B107" s="1"/>
      <c r="C107" s="1"/>
      <c r="D107" s="1"/>
    </row>
    <row r="108" ht="12.75" customHeight="1">
      <c r="B108" s="1"/>
      <c r="C108" s="1"/>
      <c r="D108" s="1"/>
    </row>
    <row r="109" ht="12.75" customHeight="1">
      <c r="B109" s="1"/>
      <c r="C109" s="1"/>
      <c r="D109" s="1"/>
    </row>
    <row r="110" ht="12.75" customHeight="1">
      <c r="B110" s="1"/>
      <c r="C110" s="1"/>
      <c r="D110" s="1"/>
    </row>
    <row r="111" ht="12.75" customHeight="1">
      <c r="B111" s="1"/>
      <c r="C111" s="1"/>
      <c r="D111" s="1"/>
    </row>
    <row r="112" ht="12.75" customHeight="1">
      <c r="B112" s="1"/>
      <c r="C112" s="1"/>
      <c r="D112" s="1"/>
    </row>
    <row r="113" ht="12.75" customHeight="1">
      <c r="B113" s="1"/>
      <c r="C113" s="1"/>
      <c r="D113" s="1"/>
    </row>
    <row r="114" ht="12.75" customHeight="1">
      <c r="B114" s="1"/>
      <c r="C114" s="1"/>
      <c r="D114" s="1"/>
    </row>
    <row r="115" ht="12.75" customHeight="1">
      <c r="B115" s="1"/>
      <c r="C115" s="1"/>
      <c r="D115" s="1"/>
    </row>
    <row r="116" ht="12.75" customHeight="1">
      <c r="B116" s="1"/>
      <c r="C116" s="1"/>
      <c r="D116" s="1"/>
    </row>
    <row r="117" ht="12.75" customHeight="1">
      <c r="B117" s="1"/>
      <c r="C117" s="1"/>
      <c r="D117" s="1"/>
    </row>
    <row r="118" ht="12.75" customHeight="1">
      <c r="B118" s="1"/>
      <c r="C118" s="1"/>
      <c r="D118" s="1"/>
    </row>
    <row r="119" ht="12.75" customHeight="1">
      <c r="B119" s="1"/>
      <c r="C119" s="1"/>
      <c r="D119" s="1"/>
    </row>
    <row r="120" ht="12.75" customHeight="1">
      <c r="B120" s="1"/>
      <c r="C120" s="1"/>
      <c r="D120" s="1"/>
    </row>
    <row r="121" ht="12.75" customHeight="1">
      <c r="B121" s="1"/>
      <c r="C121" s="1"/>
      <c r="D121" s="1"/>
    </row>
    <row r="122" ht="12.75" customHeight="1">
      <c r="B122" s="1"/>
      <c r="C122" s="1"/>
      <c r="D122" s="1"/>
    </row>
    <row r="123" ht="12.75" customHeight="1">
      <c r="B123" s="1"/>
      <c r="C123" s="1"/>
      <c r="D123" s="1"/>
    </row>
    <row r="124" ht="12.75" customHeight="1">
      <c r="B124" s="1"/>
      <c r="C124" s="1"/>
      <c r="D124" s="1"/>
    </row>
    <row r="125" ht="12.75" customHeight="1">
      <c r="B125" s="1"/>
      <c r="C125" s="1"/>
      <c r="D125" s="1"/>
    </row>
    <row r="126" ht="12.75" customHeight="1">
      <c r="B126" s="1"/>
      <c r="C126" s="1"/>
      <c r="D126" s="1"/>
    </row>
    <row r="127" ht="12.75" customHeight="1">
      <c r="B127" s="1"/>
      <c r="C127" s="1"/>
      <c r="D127" s="1"/>
    </row>
    <row r="128" ht="12.75" customHeight="1">
      <c r="B128" s="1"/>
      <c r="C128" s="1"/>
      <c r="D128" s="1"/>
    </row>
    <row r="129" ht="12.75" customHeight="1">
      <c r="B129" s="1"/>
      <c r="C129" s="1"/>
      <c r="D129" s="1"/>
    </row>
    <row r="130" ht="12.75" customHeight="1">
      <c r="B130" s="1"/>
      <c r="C130" s="1"/>
      <c r="D130" s="1"/>
    </row>
    <row r="131" ht="12.75" customHeight="1">
      <c r="B131" s="1"/>
      <c r="C131" s="1"/>
      <c r="D131" s="1"/>
    </row>
    <row r="132" ht="12.75" customHeight="1">
      <c r="B132" s="1"/>
      <c r="C132" s="1"/>
      <c r="D132" s="1"/>
    </row>
    <row r="133" ht="12.75" customHeight="1">
      <c r="B133" s="1"/>
      <c r="C133" s="1"/>
      <c r="D133" s="1"/>
    </row>
    <row r="134" ht="12.75" customHeight="1">
      <c r="B134" s="1"/>
      <c r="C134" s="1"/>
      <c r="D134" s="1"/>
    </row>
    <row r="135" ht="12.75" customHeight="1">
      <c r="B135" s="1"/>
      <c r="C135" s="1"/>
      <c r="D135" s="1"/>
    </row>
    <row r="136" ht="12.75" customHeight="1">
      <c r="B136" s="1"/>
      <c r="C136" s="1"/>
      <c r="D136" s="1"/>
    </row>
    <row r="137" ht="12.75" customHeight="1">
      <c r="B137" s="1"/>
      <c r="C137" s="1"/>
      <c r="D137" s="1"/>
    </row>
    <row r="138" ht="12.75" customHeight="1">
      <c r="B138" s="1"/>
      <c r="C138" s="1"/>
      <c r="D138" s="1"/>
    </row>
    <row r="139" ht="12.75" customHeight="1">
      <c r="B139" s="1"/>
      <c r="C139" s="1"/>
      <c r="D139" s="1"/>
    </row>
    <row r="140" ht="12.75" customHeight="1">
      <c r="B140" s="1"/>
      <c r="C140" s="1"/>
      <c r="D140" s="1"/>
    </row>
    <row r="141" ht="12.75" customHeight="1">
      <c r="B141" s="1"/>
      <c r="C141" s="1"/>
      <c r="D141" s="1"/>
    </row>
    <row r="142" ht="12.75" customHeight="1">
      <c r="B142" s="1"/>
      <c r="C142" s="1"/>
      <c r="D142" s="1"/>
    </row>
    <row r="143" ht="12.75" customHeight="1">
      <c r="B143" s="1"/>
      <c r="C143" s="1"/>
      <c r="D143" s="1"/>
    </row>
    <row r="144" ht="12.75" customHeight="1">
      <c r="B144" s="1"/>
      <c r="C144" s="1"/>
      <c r="D144" s="1"/>
    </row>
    <row r="145" ht="12.75" customHeight="1">
      <c r="B145" s="1"/>
      <c r="C145" s="1"/>
      <c r="D145" s="1"/>
    </row>
    <row r="146" ht="12.75" customHeight="1">
      <c r="B146" s="1"/>
      <c r="C146" s="1"/>
      <c r="D146" s="1"/>
    </row>
    <row r="147" ht="12.75" customHeight="1">
      <c r="B147" s="1"/>
      <c r="C147" s="1"/>
      <c r="D147" s="1"/>
    </row>
    <row r="148" ht="12.75" customHeight="1">
      <c r="B148" s="1"/>
      <c r="C148" s="1"/>
      <c r="D148" s="1"/>
    </row>
    <row r="149" ht="12.75" customHeight="1">
      <c r="B149" s="1"/>
      <c r="C149" s="1"/>
      <c r="D149" s="1"/>
    </row>
    <row r="150" ht="12.75" customHeight="1">
      <c r="B150" s="1"/>
      <c r="C150" s="1"/>
      <c r="D150" s="1"/>
    </row>
    <row r="151" ht="12.75" customHeight="1">
      <c r="B151" s="1"/>
      <c r="C151" s="1"/>
      <c r="D151" s="1"/>
    </row>
    <row r="152" ht="12.75" customHeight="1">
      <c r="B152" s="1"/>
      <c r="C152" s="1"/>
      <c r="D152" s="1"/>
    </row>
    <row r="153" ht="12.75" customHeight="1">
      <c r="B153" s="1"/>
      <c r="C153" s="1"/>
      <c r="D153" s="1"/>
    </row>
    <row r="154" ht="12.75" customHeight="1">
      <c r="B154" s="1"/>
      <c r="C154" s="1"/>
      <c r="D154" s="1"/>
    </row>
    <row r="155" ht="12.75" customHeight="1">
      <c r="B155" s="1"/>
      <c r="C155" s="1"/>
      <c r="D155" s="1"/>
    </row>
    <row r="156" ht="12.75" customHeight="1">
      <c r="B156" s="1"/>
      <c r="C156" s="1"/>
      <c r="D156" s="1"/>
    </row>
    <row r="157" ht="12.75" customHeight="1">
      <c r="B157" s="1"/>
      <c r="C157" s="1"/>
      <c r="D157" s="1"/>
    </row>
    <row r="158" ht="12.75" customHeight="1">
      <c r="B158" s="1"/>
      <c r="C158" s="1"/>
      <c r="D158" s="1"/>
    </row>
    <row r="159" ht="12.75" customHeight="1">
      <c r="B159" s="1"/>
      <c r="C159" s="1"/>
      <c r="D159" s="1"/>
    </row>
    <row r="160" ht="12.75" customHeight="1">
      <c r="B160" s="1"/>
      <c r="C160" s="1"/>
      <c r="D160" s="1"/>
    </row>
    <row r="161" ht="12.75" customHeight="1">
      <c r="B161" s="1"/>
      <c r="C161" s="1"/>
      <c r="D161" s="1"/>
    </row>
    <row r="162" ht="12.75" customHeight="1">
      <c r="B162" s="1"/>
      <c r="C162" s="1"/>
      <c r="D162" s="1"/>
    </row>
    <row r="163" ht="12.75" customHeight="1">
      <c r="B163" s="1"/>
      <c r="C163" s="1"/>
      <c r="D163" s="1"/>
    </row>
    <row r="164" ht="12.75" customHeight="1">
      <c r="B164" s="1"/>
      <c r="C164" s="1"/>
      <c r="D164" s="1"/>
    </row>
    <row r="165" ht="12.75" customHeight="1">
      <c r="B165" s="1"/>
      <c r="C165" s="1"/>
      <c r="D165" s="1"/>
    </row>
    <row r="166" ht="12.75" customHeight="1">
      <c r="B166" s="1"/>
      <c r="C166" s="1"/>
      <c r="D166" s="1"/>
    </row>
    <row r="167" ht="12.75" customHeight="1">
      <c r="B167" s="1"/>
      <c r="C167" s="1"/>
      <c r="D167" s="1"/>
    </row>
    <row r="168" ht="12.75" customHeight="1">
      <c r="B168" s="1"/>
      <c r="C168" s="1"/>
      <c r="D168" s="1"/>
    </row>
    <row r="169" ht="12.75" customHeight="1">
      <c r="B169" s="1"/>
      <c r="C169" s="1"/>
      <c r="D169" s="1"/>
    </row>
    <row r="170" ht="12.75" customHeight="1">
      <c r="B170" s="1"/>
      <c r="C170" s="1"/>
      <c r="D170" s="1"/>
    </row>
    <row r="171" ht="12.75" customHeight="1">
      <c r="B171" s="1"/>
      <c r="C171" s="1"/>
      <c r="D171" s="1"/>
    </row>
    <row r="172" ht="12.75" customHeight="1">
      <c r="B172" s="1"/>
      <c r="C172" s="1"/>
      <c r="D172" s="1"/>
    </row>
    <row r="173" ht="12.75" customHeight="1">
      <c r="B173" s="1"/>
      <c r="C173" s="1"/>
      <c r="D173" s="1"/>
    </row>
    <row r="174" ht="12.75" customHeight="1">
      <c r="B174" s="1"/>
      <c r="C174" s="1"/>
      <c r="D174" s="1"/>
    </row>
    <row r="175" ht="12.75" customHeight="1">
      <c r="B175" s="1"/>
      <c r="C175" s="1"/>
      <c r="D175" s="1"/>
    </row>
    <row r="176" ht="12.75" customHeight="1">
      <c r="B176" s="1"/>
      <c r="C176" s="1"/>
      <c r="D176" s="1"/>
    </row>
    <row r="177" ht="12.75" customHeight="1">
      <c r="B177" s="1"/>
      <c r="C177" s="1"/>
      <c r="D177" s="1"/>
    </row>
    <row r="178" ht="12.75" customHeight="1">
      <c r="B178" s="1"/>
      <c r="C178" s="1"/>
      <c r="D178" s="1"/>
    </row>
    <row r="179" ht="12.75" customHeight="1">
      <c r="B179" s="1"/>
      <c r="C179" s="1"/>
      <c r="D179" s="1"/>
    </row>
    <row r="180" ht="12.75" customHeight="1">
      <c r="B180" s="1"/>
      <c r="C180" s="1"/>
      <c r="D180" s="1"/>
    </row>
    <row r="181" ht="12.75" customHeight="1">
      <c r="B181" s="1"/>
      <c r="C181" s="1"/>
      <c r="D181" s="1"/>
    </row>
    <row r="182" ht="12.75" customHeight="1">
      <c r="B182" s="1"/>
      <c r="C182" s="1"/>
      <c r="D182" s="1"/>
    </row>
    <row r="183" ht="12.75" customHeight="1">
      <c r="B183" s="1"/>
      <c r="C183" s="1"/>
      <c r="D183" s="1"/>
    </row>
    <row r="184" ht="12.75" customHeight="1">
      <c r="B184" s="1"/>
      <c r="C184" s="1"/>
      <c r="D184" s="1"/>
    </row>
    <row r="185" ht="12.75" customHeight="1">
      <c r="B185" s="1"/>
      <c r="C185" s="1"/>
      <c r="D185" s="1"/>
    </row>
    <row r="186" ht="12.75" customHeight="1">
      <c r="B186" s="1"/>
      <c r="C186" s="1"/>
      <c r="D186" s="1"/>
    </row>
    <row r="187" ht="12.75" customHeight="1">
      <c r="B187" s="1"/>
      <c r="C187" s="1"/>
      <c r="D187" s="1"/>
    </row>
    <row r="188" ht="12.75" customHeight="1">
      <c r="B188" s="1"/>
      <c r="C188" s="1"/>
      <c r="D188" s="1"/>
    </row>
    <row r="189" ht="12.75" customHeight="1">
      <c r="B189" s="1"/>
      <c r="C189" s="1"/>
      <c r="D189" s="1"/>
    </row>
    <row r="190" ht="12.75" customHeight="1">
      <c r="B190" s="1"/>
      <c r="C190" s="1"/>
      <c r="D190" s="1"/>
    </row>
    <row r="191" ht="12.75" customHeight="1">
      <c r="B191" s="1"/>
      <c r="C191" s="1"/>
      <c r="D191" s="1"/>
    </row>
    <row r="192" ht="12.75" customHeight="1">
      <c r="B192" s="1"/>
      <c r="C192" s="1"/>
      <c r="D192" s="1"/>
    </row>
    <row r="193" ht="12.75" customHeight="1">
      <c r="B193" s="1"/>
      <c r="C193" s="1"/>
      <c r="D193" s="1"/>
    </row>
    <row r="194" ht="12.75" customHeight="1">
      <c r="B194" s="1"/>
      <c r="C194" s="1"/>
      <c r="D194" s="1"/>
    </row>
    <row r="195" ht="12.75" customHeight="1">
      <c r="B195" s="1"/>
      <c r="C195" s="1"/>
      <c r="D195" s="1"/>
    </row>
    <row r="196" ht="12.75" customHeight="1">
      <c r="B196" s="1"/>
      <c r="C196" s="1"/>
      <c r="D196" s="1"/>
    </row>
    <row r="197" ht="12.75" customHeight="1">
      <c r="B197" s="1"/>
      <c r="C197" s="1"/>
      <c r="D197" s="1"/>
    </row>
    <row r="198" ht="12.75" customHeight="1">
      <c r="B198" s="1"/>
      <c r="C198" s="1"/>
      <c r="D198" s="1"/>
    </row>
    <row r="199" ht="12.75" customHeight="1">
      <c r="B199" s="1"/>
      <c r="C199" s="1"/>
      <c r="D199" s="1"/>
    </row>
    <row r="200" ht="12.75" customHeight="1">
      <c r="B200" s="1"/>
      <c r="C200" s="1"/>
      <c r="D200" s="1"/>
    </row>
    <row r="201" ht="12.75" customHeight="1">
      <c r="B201" s="1"/>
      <c r="C201" s="1"/>
      <c r="D201" s="1"/>
    </row>
    <row r="202" ht="12.75" customHeight="1">
      <c r="B202" s="1"/>
      <c r="C202" s="1"/>
      <c r="D202" s="1"/>
    </row>
    <row r="203" ht="12.75" customHeight="1">
      <c r="B203" s="1"/>
      <c r="C203" s="1"/>
      <c r="D203" s="1"/>
    </row>
    <row r="204" ht="12.75" customHeight="1">
      <c r="B204" s="1"/>
      <c r="C204" s="1"/>
      <c r="D204" s="1"/>
    </row>
    <row r="205" ht="12.75" customHeight="1">
      <c r="B205" s="1"/>
      <c r="C205" s="1"/>
      <c r="D205" s="1"/>
    </row>
    <row r="206" ht="12.75" customHeight="1">
      <c r="B206" s="1"/>
      <c r="C206" s="1"/>
      <c r="D206" s="1"/>
    </row>
    <row r="207" ht="12.75" customHeight="1">
      <c r="B207" s="1"/>
      <c r="C207" s="1"/>
      <c r="D207" s="1"/>
    </row>
    <row r="208" ht="12.75" customHeight="1">
      <c r="B208" s="1"/>
      <c r="C208" s="1"/>
      <c r="D208" s="1"/>
    </row>
    <row r="209" ht="12.75" customHeight="1">
      <c r="B209" s="1"/>
      <c r="C209" s="1"/>
      <c r="D209" s="1"/>
    </row>
    <row r="210" ht="12.75" customHeight="1">
      <c r="B210" s="1"/>
      <c r="C210" s="1"/>
      <c r="D210" s="1"/>
    </row>
    <row r="211" ht="12.75" customHeight="1">
      <c r="B211" s="1"/>
      <c r="C211" s="1"/>
      <c r="D211" s="1"/>
    </row>
    <row r="212" ht="12.75" customHeight="1">
      <c r="B212" s="1"/>
      <c r="C212" s="1"/>
      <c r="D212" s="1"/>
    </row>
    <row r="213" ht="12.75" customHeight="1">
      <c r="B213" s="1"/>
      <c r="C213" s="1"/>
      <c r="D213" s="1"/>
    </row>
    <row r="214" ht="12.75" customHeight="1">
      <c r="B214" s="1"/>
      <c r="C214" s="1"/>
      <c r="D214" s="1"/>
    </row>
    <row r="215" ht="12.75" customHeight="1">
      <c r="B215" s="1"/>
      <c r="C215" s="1"/>
      <c r="D215" s="1"/>
    </row>
    <row r="216" ht="12.75" customHeight="1">
      <c r="B216" s="1"/>
      <c r="C216" s="1"/>
      <c r="D216" s="1"/>
    </row>
    <row r="217" ht="12.75" customHeight="1">
      <c r="B217" s="1"/>
      <c r="C217" s="1"/>
      <c r="D217" s="1"/>
    </row>
    <row r="218" ht="12.75" customHeight="1">
      <c r="B218" s="1"/>
      <c r="C218" s="1"/>
      <c r="D218" s="1"/>
    </row>
    <row r="219" ht="12.75" customHeight="1">
      <c r="B219" s="1"/>
      <c r="C219" s="1"/>
      <c r="D219" s="1"/>
    </row>
    <row r="220" ht="12.75" customHeight="1">
      <c r="B220" s="1"/>
      <c r="C220" s="1"/>
      <c r="D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C1"/>
    <mergeCell ref="B2:C2"/>
    <mergeCell ref="B13:C13"/>
    <mergeCell ref="B14:C14"/>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B1A1A"/>
    <pageSetUpPr/>
  </sheetPr>
  <sheetViews>
    <sheetView showGridLines="0" workbookViewId="0"/>
  </sheetViews>
  <sheetFormatPr customHeight="1" defaultColWidth="12.63" defaultRowHeight="15.0"/>
  <cols>
    <col customWidth="1" min="1" max="1" width="2.0"/>
    <col customWidth="1" min="2" max="2" width="42.0"/>
    <col customWidth="1" min="3" max="7" width="14.0"/>
    <col customWidth="1" min="8" max="26" width="12.75"/>
  </cols>
  <sheetData>
    <row r="1" ht="30.0" customHeight="1">
      <c r="A1" s="6"/>
      <c r="B1" s="7" t="s">
        <v>3</v>
      </c>
      <c r="C1" s="13"/>
      <c r="D1" s="13"/>
      <c r="E1" s="13"/>
      <c r="F1" s="13"/>
      <c r="G1" s="17"/>
      <c r="H1" s="6"/>
      <c r="I1" s="6"/>
      <c r="J1" s="1"/>
      <c r="K1" s="1"/>
    </row>
    <row r="2" ht="4.5" customHeight="1">
      <c r="A2" s="6"/>
      <c r="B2" s="6"/>
      <c r="C2" s="6"/>
      <c r="D2" s="6"/>
      <c r="E2" s="6"/>
      <c r="F2" s="6"/>
      <c r="G2" s="6"/>
      <c r="H2" s="6"/>
      <c r="I2" s="6"/>
      <c r="J2" s="1"/>
      <c r="K2" s="1"/>
    </row>
    <row r="3" ht="18.0" customHeight="1">
      <c r="A3" s="6"/>
      <c r="B3" s="24" t="s">
        <v>4</v>
      </c>
      <c r="C3" s="24" t="s">
        <v>12</v>
      </c>
      <c r="D3" s="24" t="s">
        <v>14</v>
      </c>
      <c r="E3" s="24" t="s">
        <v>15</v>
      </c>
      <c r="F3" s="24" t="s">
        <v>16</v>
      </c>
      <c r="G3" s="24" t="s">
        <v>18</v>
      </c>
      <c r="H3" s="6"/>
      <c r="I3" s="6"/>
      <c r="J3" s="1"/>
      <c r="K3" s="1"/>
    </row>
    <row r="4" ht="18.0" customHeight="1">
      <c r="A4" s="6"/>
      <c r="B4" s="28" t="s">
        <v>27</v>
      </c>
      <c r="C4" s="29">
        <v>0.38</v>
      </c>
      <c r="D4" s="29">
        <v>0.33</v>
      </c>
      <c r="E4" s="29">
        <v>0.29</v>
      </c>
      <c r="F4" s="29">
        <v>0.26</v>
      </c>
      <c r="G4" s="29">
        <v>0.25</v>
      </c>
      <c r="H4" s="6"/>
      <c r="I4" s="6"/>
      <c r="J4" s="1"/>
      <c r="K4" s="1"/>
    </row>
    <row r="5" ht="18.0" customHeight="1">
      <c r="A5" s="6"/>
      <c r="B5" s="31" t="s">
        <v>47</v>
      </c>
      <c r="C5" s="36">
        <f t="shared" ref="C5:G5" si="1">C4*0.25</f>
        <v>0.095</v>
      </c>
      <c r="D5" s="36">
        <f t="shared" si="1"/>
        <v>0.0825</v>
      </c>
      <c r="E5" s="36">
        <f t="shared" si="1"/>
        <v>0.0725</v>
      </c>
      <c r="F5" s="36">
        <f t="shared" si="1"/>
        <v>0.065</v>
      </c>
      <c r="G5" s="36">
        <f t="shared" si="1"/>
        <v>0.0625</v>
      </c>
      <c r="H5" s="6"/>
      <c r="I5" s="6"/>
      <c r="J5" s="1"/>
      <c r="K5" s="1"/>
      <c r="L5" s="1"/>
      <c r="M5" s="1"/>
      <c r="N5" s="1"/>
      <c r="O5" s="1"/>
      <c r="P5" s="1"/>
      <c r="Q5" s="1"/>
      <c r="R5" s="1"/>
      <c r="S5" s="1"/>
      <c r="T5" s="1"/>
      <c r="U5" s="1"/>
      <c r="V5" s="1"/>
      <c r="W5" s="1"/>
      <c r="X5" s="1"/>
      <c r="Y5" s="1"/>
      <c r="Z5" s="1"/>
    </row>
    <row r="6" ht="18.0" customHeight="1">
      <c r="A6" s="6"/>
      <c r="B6" s="40" t="s">
        <v>50</v>
      </c>
      <c r="C6" s="42">
        <v>8982727.0</v>
      </c>
      <c r="D6" s="42">
        <v>9687031.0</v>
      </c>
      <c r="E6" s="42">
        <v>9744766.0</v>
      </c>
      <c r="F6" s="42">
        <v>9530611.0</v>
      </c>
      <c r="G6" s="42">
        <v>9275464.0</v>
      </c>
      <c r="H6" s="6"/>
      <c r="I6" s="6"/>
      <c r="J6" s="44"/>
      <c r="K6" s="1"/>
    </row>
    <row r="7" ht="18.0" customHeight="1">
      <c r="A7" s="6"/>
      <c r="B7" s="45" t="s">
        <v>51</v>
      </c>
      <c r="C7" s="46">
        <f>C6/SUM(C6:G6)</f>
        <v>0.1902289931</v>
      </c>
      <c r="D7" s="46">
        <f>D6/SUM(C6:G6)</f>
        <v>0.2051441787</v>
      </c>
      <c r="E7" s="46">
        <f>E6/SUM(C6:G6)</f>
        <v>0.2063668443</v>
      </c>
      <c r="F7" s="46">
        <f>F6/SUM(C6:G6)</f>
        <v>0.2018316413</v>
      </c>
      <c r="G7" s="46">
        <f>G6/SUM(C6:G6)</f>
        <v>0.1964283426</v>
      </c>
      <c r="H7" s="47">
        <f>SUM(C7:G7)</f>
        <v>1</v>
      </c>
      <c r="I7" s="6"/>
      <c r="J7" s="1"/>
      <c r="K7" s="1"/>
      <c r="L7" s="1"/>
      <c r="M7" s="1"/>
      <c r="N7" s="1"/>
      <c r="O7" s="1"/>
      <c r="P7" s="1"/>
      <c r="Q7" s="1"/>
      <c r="R7" s="1"/>
      <c r="S7" s="1"/>
      <c r="T7" s="1"/>
      <c r="U7" s="1"/>
      <c r="V7" s="1"/>
      <c r="W7" s="1"/>
      <c r="X7" s="1"/>
      <c r="Y7" s="1"/>
      <c r="Z7" s="1"/>
    </row>
    <row r="8" ht="18.0" customHeight="1">
      <c r="A8" s="48"/>
      <c r="B8" s="49" t="s">
        <v>52</v>
      </c>
      <c r="C8" s="50">
        <v>4.0E-4</v>
      </c>
      <c r="D8" s="50">
        <v>0.002</v>
      </c>
      <c r="E8" s="50">
        <v>0.0034</v>
      </c>
      <c r="F8" s="50">
        <v>0.0073</v>
      </c>
      <c r="G8" s="50">
        <v>0.011</v>
      </c>
      <c r="H8" s="48"/>
      <c r="I8" s="48"/>
      <c r="J8" s="51"/>
      <c r="K8" s="51"/>
      <c r="L8" s="51"/>
      <c r="M8" s="51"/>
      <c r="N8" s="51"/>
      <c r="O8" s="51"/>
      <c r="P8" s="51"/>
      <c r="Q8" s="51"/>
      <c r="R8" s="51"/>
      <c r="S8" s="51"/>
      <c r="T8" s="51"/>
      <c r="U8" s="51"/>
      <c r="V8" s="51"/>
      <c r="W8" s="51"/>
      <c r="X8" s="51"/>
      <c r="Y8" s="51"/>
      <c r="Z8" s="51"/>
    </row>
    <row r="9" ht="18.0" customHeight="1">
      <c r="A9" s="6"/>
      <c r="B9" s="31" t="s">
        <v>53</v>
      </c>
      <c r="C9" s="52">
        <f t="shared" ref="C9:G9" si="2">C6*C5*C8</f>
        <v>341.343626</v>
      </c>
      <c r="D9" s="52">
        <f t="shared" si="2"/>
        <v>1598.360115</v>
      </c>
      <c r="E9" s="52">
        <f t="shared" si="2"/>
        <v>2402.084819</v>
      </c>
      <c r="F9" s="52">
        <f t="shared" si="2"/>
        <v>4522.27492</v>
      </c>
      <c r="G9" s="52">
        <f t="shared" si="2"/>
        <v>6376.8815</v>
      </c>
      <c r="H9" s="53">
        <f>SUM(C9:G9)</f>
        <v>15240.94498</v>
      </c>
      <c r="I9" s="6"/>
      <c r="J9" s="1"/>
      <c r="K9" s="1"/>
      <c r="L9" s="1"/>
      <c r="M9" s="1"/>
      <c r="N9" s="1"/>
      <c r="O9" s="1"/>
      <c r="P9" s="1"/>
      <c r="Q9" s="1"/>
      <c r="R9" s="1"/>
      <c r="S9" s="1"/>
      <c r="T9" s="1"/>
      <c r="U9" s="1"/>
      <c r="V9" s="1"/>
      <c r="W9" s="1"/>
      <c r="X9" s="1"/>
      <c r="Y9" s="1"/>
      <c r="Z9" s="1"/>
    </row>
    <row r="10" ht="15.75" customHeight="1">
      <c r="A10" s="6"/>
      <c r="B10" s="45" t="s">
        <v>54</v>
      </c>
      <c r="C10" s="54">
        <f t="shared" ref="C10:G10" si="3">C9*0.098</f>
        <v>33.45167535</v>
      </c>
      <c r="D10" s="42">
        <f t="shared" si="3"/>
        <v>156.6392913</v>
      </c>
      <c r="E10" s="42">
        <f t="shared" si="3"/>
        <v>235.4043123</v>
      </c>
      <c r="F10" s="42">
        <f t="shared" si="3"/>
        <v>443.1829421</v>
      </c>
      <c r="G10" s="42">
        <f t="shared" si="3"/>
        <v>624.934387</v>
      </c>
      <c r="H10" s="6"/>
      <c r="I10" s="6"/>
      <c r="J10" s="1"/>
      <c r="K10" s="1"/>
    </row>
    <row r="11" ht="18.0" customHeight="1">
      <c r="A11" s="6"/>
      <c r="B11" s="6"/>
      <c r="C11" s="55"/>
      <c r="D11" s="55"/>
      <c r="E11" s="55"/>
      <c r="F11" s="55"/>
      <c r="G11" s="55"/>
      <c r="H11" s="6"/>
      <c r="I11" s="6"/>
      <c r="J11" s="1"/>
      <c r="K11" s="1"/>
    </row>
    <row r="12" ht="18.0" customHeight="1">
      <c r="A12" s="6"/>
      <c r="B12" s="56"/>
      <c r="C12" s="58"/>
      <c r="D12" s="59"/>
      <c r="E12" s="59"/>
      <c r="F12" s="59"/>
      <c r="G12" s="59"/>
      <c r="H12" s="6"/>
      <c r="I12" s="6"/>
      <c r="J12" s="1"/>
      <c r="K12" s="1"/>
    </row>
    <row r="13" ht="15.75" customHeight="1">
      <c r="A13" s="6"/>
      <c r="B13" s="6"/>
      <c r="C13" s="61"/>
      <c r="D13" s="61"/>
      <c r="E13" s="61"/>
      <c r="F13" s="61"/>
      <c r="G13" s="61"/>
      <c r="H13" s="6"/>
      <c r="I13" s="6"/>
      <c r="J13" s="1"/>
      <c r="K13" s="1"/>
    </row>
    <row r="14" ht="12.75" customHeight="1">
      <c r="A14" s="6"/>
      <c r="B14" s="6"/>
      <c r="C14" s="6"/>
      <c r="D14" s="6"/>
      <c r="E14" s="6"/>
      <c r="F14" s="6"/>
      <c r="G14" s="6"/>
      <c r="H14" s="6"/>
      <c r="I14" s="6"/>
      <c r="J14" s="1"/>
      <c r="K14" s="1"/>
    </row>
    <row r="15" ht="12.75" customHeight="1">
      <c r="A15" s="6"/>
      <c r="B15" s="6"/>
      <c r="C15" s="6"/>
      <c r="D15" s="63"/>
      <c r="E15" s="6"/>
      <c r="F15" s="6"/>
      <c r="G15" s="6"/>
      <c r="H15" s="6"/>
      <c r="I15" s="6"/>
      <c r="J15" s="1"/>
      <c r="K15" s="1"/>
    </row>
    <row r="16" ht="12.75" customHeight="1">
      <c r="A16" s="6"/>
      <c r="B16" s="6"/>
      <c r="C16" s="6"/>
      <c r="D16" s="6"/>
      <c r="E16" s="6"/>
      <c r="F16" s="6"/>
      <c r="G16" s="6"/>
      <c r="H16" s="6"/>
      <c r="I16" s="6"/>
      <c r="J16" s="1"/>
      <c r="K16" s="1"/>
    </row>
    <row r="17" ht="12.75" customHeight="1">
      <c r="A17" s="6"/>
      <c r="B17" s="6"/>
      <c r="C17" s="6"/>
      <c r="D17" s="6"/>
      <c r="E17" s="6"/>
      <c r="F17" s="6"/>
      <c r="G17" s="6"/>
      <c r="H17" s="6"/>
      <c r="I17" s="6"/>
      <c r="J17" s="1"/>
      <c r="K17" s="1"/>
    </row>
    <row r="18" ht="12.75" customHeight="1">
      <c r="A18" s="6"/>
      <c r="B18" s="6"/>
      <c r="C18" s="6"/>
      <c r="D18" s="6"/>
      <c r="E18" s="6"/>
      <c r="F18" s="6"/>
      <c r="G18" s="6"/>
      <c r="H18" s="6"/>
      <c r="I18" s="6"/>
      <c r="J18" s="1"/>
      <c r="K18" s="1"/>
    </row>
    <row r="19" ht="12.75" customHeight="1">
      <c r="A19" s="6"/>
      <c r="B19" s="6"/>
      <c r="C19" s="6"/>
      <c r="D19" s="6"/>
      <c r="E19" s="6"/>
      <c r="F19" s="6"/>
      <c r="G19" s="6"/>
      <c r="H19" s="6"/>
      <c r="I19" s="6"/>
      <c r="J19" s="1"/>
      <c r="K19" s="1"/>
    </row>
    <row r="20" ht="12.75" customHeight="1">
      <c r="A20" s="1"/>
      <c r="B20" s="1"/>
      <c r="C20" s="1"/>
      <c r="D20" s="1"/>
      <c r="E20" s="1"/>
      <c r="F20" s="1"/>
      <c r="G20" s="1"/>
      <c r="H20" s="1"/>
      <c r="I20" s="1"/>
      <c r="J20" s="1"/>
      <c r="K20" s="1"/>
    </row>
    <row r="21" ht="12.75" customHeight="1">
      <c r="A21" s="1"/>
      <c r="B21" s="1"/>
      <c r="C21" s="1"/>
      <c r="D21" s="1"/>
      <c r="E21" s="1"/>
      <c r="F21" s="1"/>
      <c r="G21" s="1"/>
      <c r="H21" s="1"/>
      <c r="I21" s="1"/>
      <c r="J21" s="1"/>
      <c r="K21" s="1"/>
    </row>
    <row r="22" ht="12.75" customHeight="1">
      <c r="A22" s="1"/>
      <c r="B22" s="1"/>
      <c r="C22" s="1"/>
      <c r="D22" s="1"/>
      <c r="E22" s="1"/>
      <c r="F22" s="1"/>
      <c r="G22" s="1"/>
      <c r="H22" s="1"/>
      <c r="I22" s="1"/>
      <c r="J22" s="1"/>
      <c r="K22" s="1"/>
    </row>
    <row r="23" ht="12.75" customHeight="1">
      <c r="A23" s="1"/>
      <c r="B23" s="1"/>
      <c r="C23" s="1"/>
      <c r="D23" s="1"/>
      <c r="E23" s="1"/>
      <c r="F23" s="1"/>
      <c r="G23" s="1"/>
      <c r="H23" s="1"/>
      <c r="I23" s="1"/>
      <c r="J23" s="1"/>
      <c r="K23" s="1"/>
    </row>
    <row r="24" ht="12.75" customHeight="1">
      <c r="A24" s="1"/>
      <c r="B24" s="1"/>
      <c r="C24" s="1"/>
      <c r="D24" s="1"/>
      <c r="E24" s="1"/>
      <c r="F24" s="1"/>
      <c r="G24" s="1"/>
      <c r="H24" s="1"/>
      <c r="I24" s="1"/>
      <c r="J24" s="1"/>
      <c r="K24" s="1"/>
    </row>
    <row r="25" ht="12.75" customHeight="1">
      <c r="A25" s="1"/>
      <c r="B25" s="1"/>
      <c r="C25" s="1"/>
      <c r="D25" s="1"/>
      <c r="E25" s="1"/>
      <c r="F25" s="1"/>
      <c r="G25" s="1"/>
      <c r="H25" s="1"/>
      <c r="I25" s="1"/>
      <c r="J25" s="1"/>
      <c r="K25" s="1"/>
    </row>
    <row r="26" ht="12.75" customHeight="1">
      <c r="A26" s="1"/>
      <c r="B26" s="1"/>
      <c r="C26" s="1"/>
      <c r="D26" s="1"/>
      <c r="E26" s="1"/>
      <c r="F26" s="1"/>
      <c r="G26" s="1"/>
      <c r="H26" s="1"/>
      <c r="I26" s="1"/>
      <c r="J26" s="1"/>
      <c r="K26" s="1"/>
    </row>
    <row r="27" ht="12.75" customHeight="1">
      <c r="A27" s="1"/>
      <c r="B27" s="1"/>
      <c r="C27" s="1"/>
      <c r="D27" s="1"/>
      <c r="E27" s="1"/>
      <c r="F27" s="1"/>
      <c r="G27" s="1"/>
      <c r="H27" s="1"/>
      <c r="I27" s="1"/>
      <c r="J27" s="1"/>
      <c r="K27" s="1"/>
    </row>
    <row r="28" ht="12.75" customHeight="1">
      <c r="A28" s="1"/>
      <c r="B28" s="1"/>
      <c r="C28" s="1"/>
      <c r="D28" s="1"/>
      <c r="E28" s="1"/>
      <c r="F28" s="1"/>
      <c r="G28" s="1"/>
      <c r="H28" s="1"/>
      <c r="I28" s="1"/>
      <c r="J28" s="1"/>
      <c r="K28" s="1"/>
    </row>
    <row r="29" ht="12.75" customHeight="1">
      <c r="A29" s="1"/>
      <c r="B29" s="1"/>
      <c r="C29" s="1"/>
      <c r="D29" s="1"/>
      <c r="E29" s="1"/>
      <c r="F29" s="1"/>
      <c r="G29" s="1"/>
      <c r="H29" s="1"/>
      <c r="I29" s="1"/>
      <c r="J29" s="1"/>
      <c r="K29" s="1"/>
    </row>
    <row r="30" ht="12.75" customHeight="1">
      <c r="A30" s="1"/>
      <c r="B30" s="1"/>
      <c r="C30" s="1"/>
      <c r="D30" s="1"/>
      <c r="E30" s="1"/>
      <c r="F30" s="1"/>
      <c r="G30" s="1"/>
      <c r="H30" s="1"/>
      <c r="I30" s="1"/>
      <c r="J30" s="1"/>
      <c r="K30" s="1"/>
    </row>
    <row r="31" ht="12.75" customHeight="1">
      <c r="A31" s="1"/>
      <c r="B31" s="1"/>
      <c r="C31" s="1"/>
      <c r="D31" s="1"/>
      <c r="E31" s="1"/>
      <c r="F31" s="1"/>
      <c r="G31" s="1"/>
      <c r="H31" s="1"/>
      <c r="I31" s="1"/>
      <c r="J31" s="1"/>
      <c r="K31" s="1"/>
    </row>
    <row r="32" ht="12.75" customHeight="1">
      <c r="A32" s="1"/>
      <c r="B32" s="1"/>
      <c r="C32" s="1"/>
      <c r="D32" s="1"/>
      <c r="E32" s="1"/>
      <c r="F32" s="1"/>
      <c r="G32" s="1"/>
      <c r="H32" s="1"/>
      <c r="I32" s="1"/>
      <c r="J32" s="1"/>
      <c r="K32" s="1"/>
    </row>
    <row r="33" ht="12.75" customHeight="1">
      <c r="A33" s="1"/>
      <c r="B33" s="1"/>
      <c r="C33" s="1"/>
      <c r="D33" s="1"/>
      <c r="E33" s="1"/>
      <c r="F33" s="1"/>
      <c r="G33" s="1"/>
      <c r="H33" s="1"/>
      <c r="I33" s="1"/>
      <c r="J33" s="1"/>
      <c r="K33" s="1"/>
    </row>
    <row r="34" ht="12.75" customHeight="1">
      <c r="A34" s="1"/>
      <c r="B34" s="1"/>
      <c r="C34" s="1"/>
      <c r="D34" s="1"/>
      <c r="E34" s="1"/>
      <c r="F34" s="1"/>
      <c r="G34" s="1"/>
      <c r="H34" s="1"/>
      <c r="I34" s="1"/>
      <c r="J34" s="1"/>
      <c r="K34" s="1"/>
    </row>
    <row r="35" ht="12.75" customHeight="1">
      <c r="A35" s="1"/>
      <c r="B35" s="1"/>
      <c r="C35" s="1"/>
      <c r="D35" s="1"/>
      <c r="E35" s="1"/>
      <c r="F35" s="1"/>
      <c r="G35" s="1"/>
      <c r="H35" s="1"/>
      <c r="I35" s="1"/>
      <c r="J35" s="1"/>
      <c r="K35" s="1"/>
    </row>
    <row r="36" ht="12.75" customHeight="1">
      <c r="A36" s="1"/>
      <c r="B36" s="1"/>
      <c r="C36" s="1"/>
      <c r="D36" s="1"/>
      <c r="E36" s="1"/>
      <c r="F36" s="1"/>
      <c r="G36" s="1"/>
      <c r="H36" s="1"/>
      <c r="I36" s="1"/>
      <c r="J36" s="1"/>
      <c r="K36" s="1"/>
    </row>
    <row r="37" ht="12.75" customHeight="1">
      <c r="A37" s="1"/>
      <c r="B37" s="1"/>
      <c r="C37" s="1"/>
      <c r="D37" s="1"/>
      <c r="E37" s="1"/>
      <c r="F37" s="1"/>
      <c r="G37" s="1"/>
      <c r="H37" s="1"/>
      <c r="I37" s="1"/>
      <c r="J37" s="1"/>
      <c r="K37" s="1"/>
    </row>
    <row r="38" ht="12.75" customHeight="1">
      <c r="A38" s="1"/>
      <c r="B38" s="1"/>
      <c r="C38" s="1"/>
      <c r="D38" s="1"/>
      <c r="E38" s="1"/>
      <c r="F38" s="1"/>
      <c r="G38" s="1"/>
      <c r="H38" s="1"/>
      <c r="I38" s="1"/>
      <c r="J38" s="1"/>
      <c r="K38" s="1"/>
    </row>
    <row r="39" ht="12.75" customHeight="1">
      <c r="A39" s="1"/>
      <c r="B39" s="1"/>
      <c r="C39" s="1"/>
      <c r="D39" s="1"/>
      <c r="E39" s="1"/>
      <c r="F39" s="1"/>
      <c r="G39" s="1"/>
      <c r="H39" s="1"/>
      <c r="I39" s="1"/>
      <c r="J39" s="1"/>
      <c r="K39" s="1"/>
    </row>
    <row r="40" ht="12.75" customHeight="1">
      <c r="A40" s="1"/>
      <c r="B40" s="1"/>
      <c r="C40" s="1"/>
      <c r="D40" s="1"/>
      <c r="E40" s="1"/>
      <c r="F40" s="1"/>
      <c r="G40" s="1"/>
      <c r="H40" s="1"/>
      <c r="I40" s="1"/>
      <c r="J40" s="1"/>
      <c r="K40" s="1"/>
    </row>
    <row r="41" ht="12.75" customHeight="1">
      <c r="A41" s="1"/>
      <c r="B41" s="1"/>
      <c r="C41" s="1"/>
      <c r="D41" s="1"/>
      <c r="E41" s="1"/>
      <c r="F41" s="1"/>
      <c r="G41" s="1"/>
      <c r="H41" s="1"/>
      <c r="I41" s="1"/>
      <c r="J41" s="1"/>
      <c r="K41" s="1"/>
    </row>
    <row r="42" ht="12.75" customHeight="1">
      <c r="A42" s="1"/>
      <c r="B42" s="1"/>
      <c r="C42" s="1"/>
      <c r="D42" s="1"/>
      <c r="E42" s="1"/>
      <c r="F42" s="1"/>
      <c r="G42" s="1"/>
      <c r="H42" s="1"/>
      <c r="I42" s="1"/>
      <c r="J42" s="1"/>
      <c r="K42" s="1"/>
    </row>
    <row r="43" ht="12.75" customHeight="1">
      <c r="A43" s="1"/>
      <c r="B43" s="1"/>
      <c r="C43" s="1"/>
      <c r="D43" s="1"/>
      <c r="E43" s="1"/>
      <c r="F43" s="1"/>
      <c r="G43" s="1"/>
      <c r="H43" s="1"/>
      <c r="I43" s="1"/>
      <c r="J43" s="1"/>
      <c r="K43" s="1"/>
    </row>
    <row r="44" ht="12.75" customHeight="1">
      <c r="A44" s="1"/>
      <c r="B44" s="1"/>
      <c r="C44" s="1"/>
      <c r="D44" s="1"/>
      <c r="E44" s="1"/>
      <c r="F44" s="1"/>
      <c r="G44" s="1"/>
      <c r="H44" s="1"/>
      <c r="I44" s="1"/>
      <c r="J44" s="1"/>
      <c r="K44" s="1"/>
    </row>
    <row r="45" ht="12.75" customHeight="1">
      <c r="A45" s="1"/>
      <c r="B45" s="1"/>
      <c r="C45" s="1"/>
      <c r="D45" s="1"/>
      <c r="E45" s="1"/>
      <c r="F45" s="1"/>
      <c r="G45" s="1"/>
      <c r="H45" s="1"/>
      <c r="I45" s="1"/>
      <c r="J45" s="1"/>
      <c r="K45" s="1"/>
    </row>
    <row r="46" ht="12.75" customHeight="1">
      <c r="A46" s="1"/>
      <c r="B46" s="1"/>
      <c r="C46" s="1"/>
      <c r="D46" s="1"/>
      <c r="E46" s="1"/>
      <c r="F46" s="1"/>
      <c r="G46" s="1"/>
      <c r="H46" s="1"/>
      <c r="I46" s="1"/>
      <c r="J46" s="1"/>
      <c r="K46" s="1"/>
    </row>
    <row r="47" ht="12.75" customHeight="1">
      <c r="A47" s="1"/>
      <c r="B47" s="1"/>
      <c r="C47" s="1"/>
      <c r="D47" s="1"/>
      <c r="E47" s="1"/>
      <c r="F47" s="1"/>
      <c r="G47" s="1"/>
      <c r="H47" s="1"/>
      <c r="I47" s="1"/>
      <c r="J47" s="1"/>
      <c r="K47" s="1"/>
    </row>
    <row r="48" ht="12.75" customHeight="1">
      <c r="A48" s="1"/>
      <c r="B48" s="1"/>
      <c r="C48" s="1"/>
      <c r="D48" s="1"/>
      <c r="E48" s="1"/>
      <c r="F48" s="1"/>
      <c r="G48" s="1"/>
      <c r="H48" s="1"/>
      <c r="I48" s="1"/>
      <c r="J48" s="1"/>
      <c r="K48" s="1"/>
    </row>
    <row r="49" ht="12.75" customHeight="1">
      <c r="A49" s="1"/>
      <c r="B49" s="1"/>
      <c r="C49" s="1"/>
      <c r="D49" s="1"/>
      <c r="E49" s="1"/>
      <c r="F49" s="1"/>
      <c r="G49" s="1"/>
      <c r="H49" s="1"/>
      <c r="I49" s="1"/>
      <c r="J49" s="1"/>
      <c r="K49" s="1"/>
    </row>
    <row r="50" ht="12.75" customHeight="1">
      <c r="A50" s="1"/>
      <c r="B50" s="1"/>
      <c r="C50" s="1"/>
      <c r="D50" s="1"/>
      <c r="E50" s="1"/>
      <c r="F50" s="1"/>
      <c r="G50" s="1"/>
      <c r="H50" s="1"/>
      <c r="I50" s="1"/>
      <c r="J50" s="1"/>
      <c r="K50" s="1"/>
    </row>
    <row r="51" ht="12.75" customHeight="1">
      <c r="A51" s="1"/>
      <c r="B51" s="1"/>
      <c r="C51" s="1"/>
      <c r="D51" s="1"/>
      <c r="E51" s="1"/>
      <c r="F51" s="1"/>
      <c r="G51" s="1"/>
      <c r="H51" s="1"/>
      <c r="I51" s="1"/>
      <c r="J51" s="1"/>
      <c r="K51" s="1"/>
    </row>
    <row r="52" ht="12.75" customHeight="1">
      <c r="A52" s="1"/>
      <c r="B52" s="1"/>
      <c r="C52" s="1"/>
      <c r="D52" s="1"/>
      <c r="E52" s="1"/>
      <c r="F52" s="1"/>
      <c r="G52" s="1"/>
      <c r="H52" s="1"/>
      <c r="I52" s="1"/>
      <c r="J52" s="1"/>
      <c r="K52" s="1"/>
    </row>
    <row r="53" ht="12.75" customHeight="1">
      <c r="A53" s="1"/>
      <c r="B53" s="1"/>
      <c r="C53" s="1"/>
      <c r="D53" s="1"/>
      <c r="E53" s="1"/>
      <c r="F53" s="1"/>
      <c r="G53" s="1"/>
      <c r="H53" s="1"/>
      <c r="I53" s="1"/>
      <c r="J53" s="1"/>
      <c r="K53" s="1"/>
    </row>
    <row r="54" ht="12.75" customHeight="1">
      <c r="A54" s="1"/>
      <c r="B54" s="1"/>
      <c r="C54" s="1"/>
      <c r="D54" s="1"/>
      <c r="E54" s="1"/>
      <c r="F54" s="1"/>
      <c r="G54" s="1"/>
      <c r="H54" s="1"/>
      <c r="I54" s="1"/>
      <c r="J54" s="1"/>
      <c r="K54" s="1"/>
    </row>
    <row r="55" ht="12.75" customHeight="1">
      <c r="A55" s="1"/>
      <c r="B55" s="1"/>
      <c r="C55" s="1"/>
      <c r="D55" s="1"/>
      <c r="E55" s="1"/>
      <c r="F55" s="1"/>
      <c r="G55" s="1"/>
      <c r="H55" s="1"/>
      <c r="I55" s="1"/>
      <c r="J55" s="1"/>
      <c r="K55" s="1"/>
    </row>
    <row r="56" ht="12.75" customHeight="1">
      <c r="A56" s="1"/>
      <c r="B56" s="1"/>
      <c r="C56" s="1"/>
      <c r="D56" s="1"/>
      <c r="E56" s="1"/>
      <c r="F56" s="1"/>
      <c r="G56" s="1"/>
      <c r="H56" s="1"/>
      <c r="I56" s="1"/>
      <c r="J56" s="1"/>
      <c r="K56" s="1"/>
    </row>
    <row r="57" ht="12.75" customHeight="1">
      <c r="A57" s="1"/>
      <c r="B57" s="1"/>
      <c r="C57" s="1"/>
      <c r="D57" s="1"/>
      <c r="E57" s="1"/>
      <c r="F57" s="1"/>
      <c r="G57" s="1"/>
      <c r="H57" s="1"/>
      <c r="I57" s="1"/>
      <c r="J57" s="1"/>
      <c r="K57" s="1"/>
    </row>
    <row r="58" ht="12.75" customHeight="1">
      <c r="A58" s="1"/>
      <c r="B58" s="1"/>
      <c r="C58" s="1"/>
      <c r="D58" s="1"/>
      <c r="E58" s="1"/>
      <c r="F58" s="1"/>
      <c r="G58" s="1"/>
      <c r="H58" s="1"/>
      <c r="I58" s="1"/>
      <c r="J58" s="1"/>
      <c r="K58" s="1"/>
    </row>
    <row r="59" ht="12.75" customHeight="1">
      <c r="A59" s="1"/>
      <c r="B59" s="1"/>
      <c r="C59" s="1"/>
      <c r="D59" s="1"/>
      <c r="E59" s="1"/>
      <c r="F59" s="1"/>
      <c r="G59" s="1"/>
      <c r="H59" s="1"/>
      <c r="I59" s="1"/>
      <c r="J59" s="1"/>
      <c r="K59" s="1"/>
    </row>
    <row r="60" ht="12.75" customHeight="1">
      <c r="A60" s="1"/>
      <c r="B60" s="1"/>
      <c r="C60" s="1"/>
      <c r="D60" s="1"/>
      <c r="E60" s="1"/>
      <c r="F60" s="1"/>
      <c r="G60" s="1"/>
      <c r="H60" s="1"/>
      <c r="I60" s="1"/>
      <c r="J60" s="1"/>
      <c r="K60" s="1"/>
    </row>
    <row r="61" ht="12.75" customHeight="1">
      <c r="A61" s="1"/>
      <c r="B61" s="1"/>
      <c r="C61" s="1"/>
      <c r="D61" s="1"/>
      <c r="E61" s="1"/>
      <c r="F61" s="1"/>
      <c r="G61" s="1"/>
      <c r="H61" s="1"/>
      <c r="I61" s="1"/>
      <c r="J61" s="1"/>
      <c r="K61" s="1"/>
    </row>
    <row r="62" ht="12.75" customHeight="1">
      <c r="A62" s="1"/>
      <c r="B62" s="1"/>
      <c r="C62" s="1"/>
      <c r="D62" s="1"/>
      <c r="E62" s="1"/>
      <c r="F62" s="1"/>
      <c r="G62" s="1"/>
      <c r="H62" s="1"/>
      <c r="I62" s="1"/>
      <c r="J62" s="1"/>
      <c r="K62" s="1"/>
    </row>
    <row r="63" ht="12.75" customHeight="1">
      <c r="A63" s="1"/>
      <c r="B63" s="1"/>
      <c r="C63" s="1"/>
      <c r="D63" s="1"/>
      <c r="E63" s="1"/>
      <c r="F63" s="1"/>
      <c r="G63" s="1"/>
      <c r="H63" s="1"/>
      <c r="I63" s="1"/>
      <c r="J63" s="1"/>
      <c r="K63" s="1"/>
    </row>
    <row r="64" ht="12.75" customHeight="1">
      <c r="A64" s="1"/>
      <c r="B64" s="1"/>
      <c r="C64" s="1"/>
      <c r="D64" s="1"/>
      <c r="E64" s="1"/>
      <c r="F64" s="1"/>
      <c r="G64" s="1"/>
      <c r="H64" s="1"/>
      <c r="I64" s="1"/>
      <c r="J64" s="1"/>
      <c r="K64" s="1"/>
    </row>
    <row r="65" ht="12.75" customHeight="1">
      <c r="A65" s="1"/>
      <c r="B65" s="1"/>
      <c r="C65" s="1"/>
      <c r="D65" s="1"/>
      <c r="E65" s="1"/>
      <c r="F65" s="1"/>
      <c r="G65" s="1"/>
      <c r="H65" s="1"/>
      <c r="I65" s="1"/>
      <c r="J65" s="1"/>
      <c r="K65" s="1"/>
    </row>
    <row r="66" ht="12.75" customHeight="1">
      <c r="A66" s="1"/>
      <c r="B66" s="1"/>
      <c r="C66" s="1"/>
      <c r="D66" s="1"/>
      <c r="E66" s="1"/>
      <c r="F66" s="1"/>
      <c r="G66" s="1"/>
      <c r="H66" s="1"/>
      <c r="I66" s="1"/>
      <c r="J66" s="1"/>
      <c r="K66" s="1"/>
    </row>
    <row r="67" ht="12.75" customHeight="1">
      <c r="A67" s="1"/>
      <c r="B67" s="1"/>
      <c r="C67" s="1"/>
      <c r="D67" s="1"/>
      <c r="E67" s="1"/>
      <c r="F67" s="1"/>
      <c r="G67" s="1"/>
      <c r="H67" s="1"/>
      <c r="I67" s="1"/>
      <c r="J67" s="1"/>
      <c r="K67" s="1"/>
    </row>
    <row r="68" ht="12.75" customHeight="1">
      <c r="A68" s="1"/>
      <c r="B68" s="1"/>
      <c r="C68" s="1"/>
      <c r="D68" s="1"/>
      <c r="E68" s="1"/>
      <c r="F68" s="1"/>
      <c r="G68" s="1"/>
      <c r="H68" s="1"/>
      <c r="I68" s="1"/>
      <c r="J68" s="1"/>
      <c r="K68" s="1"/>
    </row>
    <row r="69" ht="12.75" customHeight="1">
      <c r="A69" s="1"/>
      <c r="B69" s="1"/>
      <c r="C69" s="1"/>
      <c r="D69" s="1"/>
      <c r="E69" s="1"/>
      <c r="F69" s="1"/>
      <c r="G69" s="1"/>
      <c r="H69" s="1"/>
      <c r="I69" s="1"/>
      <c r="J69" s="1"/>
      <c r="K69" s="1"/>
    </row>
    <row r="70" ht="12.75" customHeight="1">
      <c r="A70" s="1"/>
      <c r="B70" s="1"/>
      <c r="C70" s="1"/>
      <c r="D70" s="1"/>
      <c r="E70" s="1"/>
      <c r="F70" s="1"/>
      <c r="G70" s="1"/>
      <c r="H70" s="1"/>
      <c r="I70" s="1"/>
      <c r="J70" s="1"/>
      <c r="K70" s="1"/>
    </row>
    <row r="71" ht="12.75" customHeight="1">
      <c r="A71" s="1"/>
      <c r="B71" s="1"/>
      <c r="C71" s="1"/>
      <c r="D71" s="1"/>
      <c r="E71" s="1"/>
      <c r="F71" s="1"/>
      <c r="G71" s="1"/>
      <c r="H71" s="1"/>
      <c r="I71" s="1"/>
      <c r="J71" s="1"/>
      <c r="K71" s="1"/>
    </row>
    <row r="72" ht="12.75" customHeight="1">
      <c r="A72" s="1"/>
      <c r="B72" s="1"/>
      <c r="C72" s="1"/>
      <c r="D72" s="1"/>
      <c r="E72" s="1"/>
      <c r="F72" s="1"/>
      <c r="G72" s="1"/>
      <c r="H72" s="1"/>
      <c r="I72" s="1"/>
      <c r="J72" s="1"/>
      <c r="K72" s="1"/>
    </row>
    <row r="73" ht="12.75" customHeight="1">
      <c r="A73" s="1"/>
      <c r="B73" s="1"/>
      <c r="C73" s="1"/>
      <c r="D73" s="1"/>
      <c r="E73" s="1"/>
      <c r="F73" s="1"/>
      <c r="G73" s="1"/>
      <c r="H73" s="1"/>
      <c r="I73" s="1"/>
      <c r="J73" s="1"/>
      <c r="K73" s="1"/>
    </row>
    <row r="74" ht="12.75" customHeight="1">
      <c r="A74" s="1"/>
      <c r="B74" s="1"/>
      <c r="C74" s="1"/>
      <c r="D74" s="1"/>
      <c r="E74" s="1"/>
      <c r="F74" s="1"/>
      <c r="G74" s="1"/>
      <c r="H74" s="1"/>
      <c r="I74" s="1"/>
      <c r="J74" s="1"/>
      <c r="K74" s="1"/>
    </row>
    <row r="75" ht="12.75" customHeight="1">
      <c r="A75" s="1"/>
      <c r="B75" s="1"/>
      <c r="C75" s="1"/>
      <c r="D75" s="1"/>
      <c r="E75" s="1"/>
      <c r="F75" s="1"/>
      <c r="G75" s="1"/>
      <c r="H75" s="1"/>
      <c r="I75" s="1"/>
      <c r="J75" s="1"/>
      <c r="K75" s="1"/>
    </row>
    <row r="76" ht="12.75" customHeight="1">
      <c r="A76" s="1"/>
      <c r="B76" s="1"/>
      <c r="C76" s="1"/>
      <c r="D76" s="1"/>
      <c r="E76" s="1"/>
      <c r="F76" s="1"/>
      <c r="G76" s="1"/>
      <c r="H76" s="1"/>
      <c r="I76" s="1"/>
      <c r="J76" s="1"/>
      <c r="K76" s="1"/>
    </row>
    <row r="77" ht="12.75" customHeight="1">
      <c r="A77" s="1"/>
      <c r="B77" s="1"/>
      <c r="C77" s="1"/>
      <c r="D77" s="1"/>
      <c r="E77" s="1"/>
      <c r="F77" s="1"/>
      <c r="G77" s="1"/>
      <c r="H77" s="1"/>
      <c r="I77" s="1"/>
      <c r="J77" s="1"/>
      <c r="K77" s="1"/>
    </row>
    <row r="78" ht="12.75" customHeight="1">
      <c r="A78" s="1"/>
      <c r="B78" s="1"/>
      <c r="C78" s="1"/>
      <c r="D78" s="1"/>
      <c r="E78" s="1"/>
      <c r="F78" s="1"/>
      <c r="G78" s="1"/>
      <c r="H78" s="1"/>
      <c r="I78" s="1"/>
      <c r="J78" s="1"/>
      <c r="K78" s="1"/>
    </row>
    <row r="79" ht="12.75" customHeight="1">
      <c r="A79" s="1"/>
      <c r="B79" s="1"/>
      <c r="C79" s="1"/>
      <c r="D79" s="1"/>
      <c r="E79" s="1"/>
      <c r="F79" s="1"/>
      <c r="G79" s="1"/>
      <c r="H79" s="1"/>
      <c r="I79" s="1"/>
      <c r="J79" s="1"/>
      <c r="K79" s="1"/>
    </row>
    <row r="80" ht="12.75" customHeight="1">
      <c r="A80" s="1"/>
      <c r="B80" s="1"/>
      <c r="C80" s="1"/>
      <c r="D80" s="1"/>
      <c r="E80" s="1"/>
      <c r="F80" s="1"/>
      <c r="G80" s="1"/>
      <c r="H80" s="1"/>
      <c r="I80" s="1"/>
      <c r="J80" s="1"/>
      <c r="K80" s="1"/>
    </row>
    <row r="81" ht="12.75" customHeight="1">
      <c r="A81" s="1"/>
      <c r="B81" s="1"/>
      <c r="C81" s="1"/>
      <c r="D81" s="1"/>
      <c r="E81" s="1"/>
      <c r="F81" s="1"/>
      <c r="G81" s="1"/>
      <c r="H81" s="1"/>
      <c r="I81" s="1"/>
      <c r="J81" s="1"/>
      <c r="K81" s="1"/>
    </row>
    <row r="82" ht="12.75" customHeight="1">
      <c r="A82" s="1"/>
      <c r="B82" s="1"/>
      <c r="C82" s="1"/>
      <c r="D82" s="1"/>
      <c r="E82" s="1"/>
      <c r="F82" s="1"/>
      <c r="G82" s="1"/>
      <c r="H82" s="1"/>
      <c r="I82" s="1"/>
      <c r="J82" s="1"/>
      <c r="K82" s="1"/>
    </row>
    <row r="83" ht="12.75" customHeight="1">
      <c r="A83" s="1"/>
      <c r="B83" s="1"/>
      <c r="C83" s="1"/>
      <c r="D83" s="1"/>
      <c r="E83" s="1"/>
      <c r="F83" s="1"/>
      <c r="G83" s="1"/>
      <c r="H83" s="1"/>
      <c r="I83" s="1"/>
      <c r="J83" s="1"/>
      <c r="K83" s="1"/>
    </row>
    <row r="84" ht="12.75" customHeight="1">
      <c r="A84" s="1"/>
      <c r="B84" s="1"/>
      <c r="C84" s="1"/>
      <c r="D84" s="1"/>
      <c r="E84" s="1"/>
      <c r="F84" s="1"/>
      <c r="G84" s="1"/>
      <c r="H84" s="1"/>
      <c r="I84" s="1"/>
      <c r="J84" s="1"/>
      <c r="K84" s="1"/>
    </row>
    <row r="85" ht="12.75" customHeight="1">
      <c r="A85" s="1"/>
      <c r="B85" s="1"/>
      <c r="C85" s="1"/>
      <c r="D85" s="1"/>
      <c r="E85" s="1"/>
      <c r="F85" s="1"/>
      <c r="G85" s="1"/>
      <c r="H85" s="1"/>
      <c r="I85" s="1"/>
      <c r="J85" s="1"/>
      <c r="K85" s="1"/>
    </row>
    <row r="86" ht="12.75" customHeight="1">
      <c r="A86" s="1"/>
      <c r="B86" s="1"/>
      <c r="C86" s="1"/>
      <c r="D86" s="1"/>
      <c r="E86" s="1"/>
      <c r="F86" s="1"/>
      <c r="G86" s="1"/>
      <c r="H86" s="1"/>
      <c r="I86" s="1"/>
      <c r="J86" s="1"/>
      <c r="K86" s="1"/>
    </row>
    <row r="87" ht="12.75" customHeight="1">
      <c r="A87" s="1"/>
      <c r="B87" s="1"/>
      <c r="C87" s="1"/>
      <c r="D87" s="1"/>
      <c r="E87" s="1"/>
      <c r="F87" s="1"/>
      <c r="G87" s="1"/>
      <c r="H87" s="1"/>
      <c r="I87" s="1"/>
      <c r="J87" s="1"/>
      <c r="K87" s="1"/>
    </row>
    <row r="88" ht="12.75" customHeight="1">
      <c r="A88" s="1"/>
      <c r="B88" s="1"/>
      <c r="C88" s="1"/>
      <c r="D88" s="1"/>
      <c r="E88" s="1"/>
      <c r="F88" s="1"/>
      <c r="G88" s="1"/>
      <c r="H88" s="1"/>
      <c r="I88" s="1"/>
      <c r="J88" s="1"/>
      <c r="K88" s="1"/>
    </row>
    <row r="89" ht="12.75" customHeight="1">
      <c r="A89" s="1"/>
      <c r="B89" s="1"/>
      <c r="C89" s="1"/>
      <c r="D89" s="1"/>
      <c r="E89" s="1"/>
      <c r="F89" s="1"/>
      <c r="G89" s="1"/>
      <c r="H89" s="1"/>
      <c r="I89" s="1"/>
      <c r="J89" s="1"/>
      <c r="K89" s="1"/>
    </row>
    <row r="90" ht="12.75" customHeight="1">
      <c r="A90" s="1"/>
      <c r="B90" s="1"/>
      <c r="C90" s="1"/>
      <c r="D90" s="1"/>
      <c r="E90" s="1"/>
      <c r="F90" s="1"/>
      <c r="G90" s="1"/>
      <c r="H90" s="1"/>
      <c r="I90" s="1"/>
      <c r="J90" s="1"/>
      <c r="K90" s="1"/>
    </row>
    <row r="91" ht="12.75" customHeight="1">
      <c r="A91" s="1"/>
      <c r="B91" s="1"/>
      <c r="C91" s="1"/>
      <c r="D91" s="1"/>
      <c r="E91" s="1"/>
      <c r="F91" s="1"/>
      <c r="G91" s="1"/>
      <c r="H91" s="1"/>
      <c r="I91" s="1"/>
      <c r="J91" s="1"/>
      <c r="K91" s="1"/>
    </row>
    <row r="92" ht="12.75" customHeight="1">
      <c r="A92" s="1"/>
      <c r="B92" s="1"/>
      <c r="C92" s="1"/>
      <c r="D92" s="1"/>
      <c r="E92" s="1"/>
      <c r="F92" s="1"/>
      <c r="G92" s="1"/>
      <c r="H92" s="1"/>
      <c r="I92" s="1"/>
      <c r="J92" s="1"/>
      <c r="K92" s="1"/>
    </row>
    <row r="93" ht="12.75" customHeight="1">
      <c r="A93" s="1"/>
      <c r="B93" s="1"/>
      <c r="C93" s="1"/>
      <c r="D93" s="1"/>
      <c r="E93" s="1"/>
      <c r="F93" s="1"/>
      <c r="G93" s="1"/>
      <c r="H93" s="1"/>
      <c r="I93" s="1"/>
      <c r="J93" s="1"/>
      <c r="K93" s="1"/>
    </row>
    <row r="94" ht="12.75" customHeight="1">
      <c r="A94" s="1"/>
      <c r="B94" s="1"/>
      <c r="C94" s="1"/>
      <c r="D94" s="1"/>
      <c r="E94" s="1"/>
      <c r="F94" s="1"/>
      <c r="G94" s="1"/>
      <c r="H94" s="1"/>
      <c r="I94" s="1"/>
      <c r="J94" s="1"/>
      <c r="K94" s="1"/>
    </row>
    <row r="95" ht="12.75" customHeight="1">
      <c r="A95" s="1"/>
      <c r="B95" s="1"/>
      <c r="C95" s="1"/>
      <c r="D95" s="1"/>
      <c r="E95" s="1"/>
      <c r="F95" s="1"/>
      <c r="G95" s="1"/>
      <c r="H95" s="1"/>
      <c r="I95" s="1"/>
      <c r="J95" s="1"/>
      <c r="K95" s="1"/>
    </row>
    <row r="96" ht="12.75" customHeight="1">
      <c r="A96" s="1"/>
      <c r="B96" s="1"/>
      <c r="C96" s="1"/>
      <c r="D96" s="1"/>
      <c r="E96" s="1"/>
      <c r="F96" s="1"/>
      <c r="G96" s="1"/>
      <c r="H96" s="1"/>
      <c r="I96" s="1"/>
      <c r="J96" s="1"/>
      <c r="K96" s="1"/>
    </row>
    <row r="97" ht="12.75" customHeight="1">
      <c r="A97" s="1"/>
      <c r="B97" s="1"/>
      <c r="C97" s="1"/>
      <c r="D97" s="1"/>
      <c r="E97" s="1"/>
      <c r="F97" s="1"/>
      <c r="G97" s="1"/>
      <c r="H97" s="1"/>
      <c r="I97" s="1"/>
      <c r="J97" s="1"/>
      <c r="K97" s="1"/>
    </row>
    <row r="98" ht="12.75" customHeight="1">
      <c r="A98" s="1"/>
      <c r="B98" s="1"/>
      <c r="C98" s="1"/>
      <c r="D98" s="1"/>
      <c r="E98" s="1"/>
      <c r="F98" s="1"/>
      <c r="G98" s="1"/>
      <c r="H98" s="1"/>
      <c r="I98" s="1"/>
      <c r="J98" s="1"/>
      <c r="K98" s="1"/>
    </row>
    <row r="99" ht="12.75" customHeight="1">
      <c r="A99" s="1"/>
      <c r="B99" s="1"/>
      <c r="C99" s="1"/>
      <c r="D99" s="1"/>
      <c r="E99" s="1"/>
      <c r="F99" s="1"/>
      <c r="G99" s="1"/>
      <c r="H99" s="1"/>
      <c r="I99" s="1"/>
      <c r="J99" s="1"/>
      <c r="K99" s="1"/>
    </row>
    <row r="100" ht="12.75" customHeight="1">
      <c r="A100" s="1"/>
      <c r="B100" s="1"/>
      <c r="C100" s="1"/>
      <c r="D100" s="1"/>
      <c r="E100" s="1"/>
      <c r="F100" s="1"/>
      <c r="G100" s="1"/>
      <c r="H100" s="1"/>
      <c r="I100" s="1"/>
      <c r="J100" s="1"/>
      <c r="K100" s="1"/>
    </row>
    <row r="101" ht="12.75" customHeight="1">
      <c r="A101" s="1"/>
      <c r="B101" s="1"/>
      <c r="C101" s="1"/>
      <c r="D101" s="1"/>
      <c r="E101" s="1"/>
      <c r="F101" s="1"/>
      <c r="G101" s="1"/>
      <c r="H101" s="1"/>
      <c r="I101" s="1"/>
      <c r="J101" s="1"/>
      <c r="K101" s="1"/>
    </row>
    <row r="102" ht="12.75" customHeight="1">
      <c r="A102" s="1"/>
      <c r="B102" s="1"/>
      <c r="C102" s="1"/>
      <c r="D102" s="1"/>
      <c r="E102" s="1"/>
      <c r="F102" s="1"/>
      <c r="G102" s="1"/>
      <c r="H102" s="1"/>
      <c r="I102" s="1"/>
      <c r="J102" s="1"/>
      <c r="K102" s="1"/>
    </row>
    <row r="103" ht="12.75" customHeight="1">
      <c r="A103" s="1"/>
      <c r="B103" s="1"/>
      <c r="C103" s="1"/>
      <c r="D103" s="1"/>
      <c r="E103" s="1"/>
      <c r="F103" s="1"/>
      <c r="G103" s="1"/>
      <c r="H103" s="1"/>
      <c r="I103" s="1"/>
      <c r="J103" s="1"/>
      <c r="K103" s="1"/>
    </row>
    <row r="104" ht="12.75" customHeight="1">
      <c r="A104" s="1"/>
      <c r="B104" s="1"/>
      <c r="C104" s="1"/>
      <c r="D104" s="1"/>
      <c r="E104" s="1"/>
      <c r="F104" s="1"/>
      <c r="G104" s="1"/>
      <c r="H104" s="1"/>
      <c r="I104" s="1"/>
      <c r="J104" s="1"/>
      <c r="K104" s="1"/>
    </row>
    <row r="105" ht="12.75" customHeight="1">
      <c r="A105" s="1"/>
      <c r="B105" s="1"/>
      <c r="C105" s="1"/>
      <c r="D105" s="1"/>
      <c r="E105" s="1"/>
      <c r="F105" s="1"/>
      <c r="G105" s="1"/>
      <c r="H105" s="1"/>
      <c r="I105" s="1"/>
      <c r="J105" s="1"/>
      <c r="K105" s="1"/>
    </row>
    <row r="106" ht="12.75" customHeight="1">
      <c r="A106" s="1"/>
      <c r="B106" s="1"/>
      <c r="C106" s="1"/>
      <c r="D106" s="1"/>
      <c r="E106" s="1"/>
      <c r="F106" s="1"/>
      <c r="G106" s="1"/>
      <c r="H106" s="1"/>
      <c r="I106" s="1"/>
      <c r="J106" s="1"/>
      <c r="K106" s="1"/>
    </row>
    <row r="107" ht="12.75" customHeight="1">
      <c r="A107" s="1"/>
      <c r="B107" s="1"/>
      <c r="C107" s="1"/>
      <c r="D107" s="1"/>
      <c r="E107" s="1"/>
      <c r="F107" s="1"/>
      <c r="G107" s="1"/>
      <c r="H107" s="1"/>
      <c r="I107" s="1"/>
      <c r="J107" s="1"/>
      <c r="K107" s="1"/>
    </row>
    <row r="108" ht="12.75" customHeight="1">
      <c r="A108" s="1"/>
      <c r="B108" s="1"/>
      <c r="C108" s="1"/>
      <c r="D108" s="1"/>
      <c r="E108" s="1"/>
      <c r="F108" s="1"/>
      <c r="G108" s="1"/>
      <c r="H108" s="1"/>
      <c r="I108" s="1"/>
      <c r="J108" s="1"/>
      <c r="K108" s="1"/>
    </row>
    <row r="109" ht="12.75" customHeight="1">
      <c r="A109" s="1"/>
      <c r="B109" s="1"/>
      <c r="C109" s="1"/>
      <c r="D109" s="1"/>
      <c r="E109" s="1"/>
      <c r="F109" s="1"/>
      <c r="G109" s="1"/>
      <c r="H109" s="1"/>
      <c r="I109" s="1"/>
      <c r="J109" s="1"/>
      <c r="K109" s="1"/>
    </row>
    <row r="110" ht="12.75" customHeight="1">
      <c r="A110" s="1"/>
      <c r="B110" s="1"/>
      <c r="C110" s="1"/>
      <c r="D110" s="1"/>
      <c r="E110" s="1"/>
      <c r="F110" s="1"/>
      <c r="G110" s="1"/>
      <c r="H110" s="1"/>
      <c r="I110" s="1"/>
      <c r="J110" s="1"/>
      <c r="K110" s="1"/>
    </row>
    <row r="111" ht="12.75" customHeight="1">
      <c r="A111" s="1"/>
      <c r="B111" s="1"/>
      <c r="C111" s="1"/>
      <c r="D111" s="1"/>
      <c r="E111" s="1"/>
      <c r="F111" s="1"/>
      <c r="G111" s="1"/>
      <c r="H111" s="1"/>
      <c r="I111" s="1"/>
      <c r="J111" s="1"/>
      <c r="K111" s="1"/>
    </row>
    <row r="112" ht="12.75" customHeight="1">
      <c r="A112" s="1"/>
      <c r="B112" s="1"/>
      <c r="C112" s="1"/>
      <c r="D112" s="1"/>
      <c r="E112" s="1"/>
      <c r="F112" s="1"/>
      <c r="G112" s="1"/>
      <c r="H112" s="1"/>
      <c r="I112" s="1"/>
      <c r="J112" s="1"/>
      <c r="K112" s="1"/>
    </row>
    <row r="113" ht="12.75" customHeight="1">
      <c r="A113" s="1"/>
      <c r="B113" s="1"/>
      <c r="C113" s="1"/>
      <c r="D113" s="1"/>
      <c r="E113" s="1"/>
      <c r="F113" s="1"/>
      <c r="G113" s="1"/>
      <c r="H113" s="1"/>
      <c r="I113" s="1"/>
      <c r="J113" s="1"/>
      <c r="K113" s="1"/>
    </row>
    <row r="114" ht="12.75" customHeight="1">
      <c r="A114" s="1"/>
      <c r="B114" s="1"/>
      <c r="C114" s="1"/>
      <c r="D114" s="1"/>
      <c r="E114" s="1"/>
      <c r="F114" s="1"/>
      <c r="G114" s="1"/>
      <c r="H114" s="1"/>
      <c r="I114" s="1"/>
      <c r="J114" s="1"/>
      <c r="K114" s="1"/>
    </row>
    <row r="115" ht="12.75" customHeight="1">
      <c r="A115" s="1"/>
      <c r="B115" s="1"/>
      <c r="C115" s="1"/>
      <c r="D115" s="1"/>
      <c r="E115" s="1"/>
      <c r="F115" s="1"/>
      <c r="G115" s="1"/>
      <c r="H115" s="1"/>
      <c r="I115" s="1"/>
      <c r="J115" s="1"/>
      <c r="K115" s="1"/>
    </row>
    <row r="116" ht="12.75" customHeight="1">
      <c r="A116" s="1"/>
      <c r="B116" s="1"/>
      <c r="C116" s="1"/>
      <c r="D116" s="1"/>
      <c r="E116" s="1"/>
      <c r="F116" s="1"/>
      <c r="G116" s="1"/>
      <c r="H116" s="1"/>
      <c r="I116" s="1"/>
      <c r="J116" s="1"/>
      <c r="K116" s="1"/>
    </row>
    <row r="117" ht="12.75" customHeight="1">
      <c r="A117" s="1"/>
      <c r="B117" s="1"/>
      <c r="C117" s="1"/>
      <c r="D117" s="1"/>
      <c r="E117" s="1"/>
      <c r="F117" s="1"/>
      <c r="G117" s="1"/>
      <c r="H117" s="1"/>
      <c r="I117" s="1"/>
      <c r="J117" s="1"/>
      <c r="K117" s="1"/>
    </row>
    <row r="118" ht="12.75" customHeight="1">
      <c r="A118" s="1"/>
      <c r="B118" s="1"/>
      <c r="C118" s="1"/>
      <c r="D118" s="1"/>
      <c r="E118" s="1"/>
      <c r="F118" s="1"/>
      <c r="G118" s="1"/>
      <c r="H118" s="1"/>
      <c r="I118" s="1"/>
      <c r="J118" s="1"/>
      <c r="K118" s="1"/>
    </row>
    <row r="119" ht="12.75" customHeight="1">
      <c r="A119" s="1"/>
      <c r="B119" s="1"/>
      <c r="C119" s="1"/>
      <c r="D119" s="1"/>
      <c r="E119" s="1"/>
      <c r="F119" s="1"/>
      <c r="G119" s="1"/>
      <c r="H119" s="1"/>
      <c r="I119" s="1"/>
      <c r="J119" s="1"/>
      <c r="K119" s="1"/>
    </row>
    <row r="120" ht="12.75" customHeight="1">
      <c r="A120" s="1"/>
      <c r="B120" s="1"/>
      <c r="C120" s="1"/>
      <c r="D120" s="1"/>
      <c r="E120" s="1"/>
      <c r="F120" s="1"/>
      <c r="G120" s="1"/>
      <c r="H120" s="1"/>
      <c r="I120" s="1"/>
      <c r="J120" s="1"/>
      <c r="K120" s="1"/>
    </row>
    <row r="121" ht="12.75" customHeight="1">
      <c r="A121" s="1"/>
      <c r="B121" s="1"/>
      <c r="C121" s="1"/>
      <c r="D121" s="1"/>
      <c r="E121" s="1"/>
      <c r="F121" s="1"/>
      <c r="G121" s="1"/>
      <c r="H121" s="1"/>
      <c r="I121" s="1"/>
      <c r="J121" s="1"/>
      <c r="K121" s="1"/>
    </row>
    <row r="122" ht="12.75" customHeight="1">
      <c r="A122" s="1"/>
      <c r="B122" s="1"/>
      <c r="C122" s="1"/>
      <c r="D122" s="1"/>
      <c r="E122" s="1"/>
      <c r="F122" s="1"/>
      <c r="G122" s="1"/>
      <c r="H122" s="1"/>
      <c r="I122" s="1"/>
      <c r="J122" s="1"/>
      <c r="K122" s="1"/>
    </row>
    <row r="123" ht="12.75" customHeight="1">
      <c r="A123" s="1"/>
      <c r="B123" s="1"/>
      <c r="C123" s="1"/>
      <c r="D123" s="1"/>
      <c r="E123" s="1"/>
      <c r="F123" s="1"/>
      <c r="G123" s="1"/>
      <c r="H123" s="1"/>
      <c r="I123" s="1"/>
      <c r="J123" s="1"/>
      <c r="K123" s="1"/>
    </row>
    <row r="124" ht="12.75" customHeight="1">
      <c r="A124" s="1"/>
      <c r="B124" s="1"/>
      <c r="C124" s="1"/>
      <c r="D124" s="1"/>
      <c r="E124" s="1"/>
      <c r="F124" s="1"/>
      <c r="G124" s="1"/>
      <c r="H124" s="1"/>
      <c r="I124" s="1"/>
      <c r="J124" s="1"/>
      <c r="K124" s="1"/>
    </row>
    <row r="125" ht="12.75" customHeight="1">
      <c r="A125" s="1"/>
      <c r="B125" s="1"/>
      <c r="C125" s="1"/>
      <c r="D125" s="1"/>
      <c r="E125" s="1"/>
      <c r="F125" s="1"/>
      <c r="G125" s="1"/>
      <c r="H125" s="1"/>
      <c r="I125" s="1"/>
      <c r="J125" s="1"/>
      <c r="K125" s="1"/>
    </row>
    <row r="126" ht="12.75" customHeight="1">
      <c r="A126" s="1"/>
      <c r="B126" s="1"/>
      <c r="C126" s="1"/>
      <c r="D126" s="1"/>
      <c r="E126" s="1"/>
      <c r="F126" s="1"/>
      <c r="G126" s="1"/>
      <c r="H126" s="1"/>
      <c r="I126" s="1"/>
      <c r="J126" s="1"/>
      <c r="K126" s="1"/>
    </row>
    <row r="127" ht="12.75" customHeight="1">
      <c r="A127" s="1"/>
      <c r="B127" s="1"/>
      <c r="C127" s="1"/>
      <c r="D127" s="1"/>
      <c r="E127" s="1"/>
      <c r="F127" s="1"/>
      <c r="G127" s="1"/>
      <c r="H127" s="1"/>
      <c r="I127" s="1"/>
      <c r="J127" s="1"/>
      <c r="K127" s="1"/>
    </row>
    <row r="128" ht="12.75" customHeight="1">
      <c r="A128" s="1"/>
      <c r="B128" s="1"/>
      <c r="C128" s="1"/>
      <c r="D128" s="1"/>
      <c r="E128" s="1"/>
      <c r="F128" s="1"/>
      <c r="G128" s="1"/>
      <c r="H128" s="1"/>
      <c r="I128" s="1"/>
      <c r="J128" s="1"/>
      <c r="K128" s="1"/>
    </row>
    <row r="129" ht="12.75" customHeight="1">
      <c r="A129" s="1"/>
      <c r="B129" s="1"/>
      <c r="C129" s="1"/>
      <c r="D129" s="1"/>
      <c r="E129" s="1"/>
      <c r="F129" s="1"/>
      <c r="G129" s="1"/>
      <c r="H129" s="1"/>
      <c r="I129" s="1"/>
      <c r="J129" s="1"/>
      <c r="K129" s="1"/>
    </row>
    <row r="130" ht="12.75" customHeight="1">
      <c r="A130" s="1"/>
      <c r="B130" s="1"/>
      <c r="C130" s="1"/>
      <c r="D130" s="1"/>
      <c r="E130" s="1"/>
      <c r="F130" s="1"/>
      <c r="G130" s="1"/>
      <c r="H130" s="1"/>
      <c r="I130" s="1"/>
      <c r="J130" s="1"/>
      <c r="K130" s="1"/>
    </row>
    <row r="131" ht="12.75" customHeight="1">
      <c r="A131" s="1"/>
      <c r="B131" s="1"/>
      <c r="C131" s="1"/>
      <c r="D131" s="1"/>
      <c r="E131" s="1"/>
      <c r="F131" s="1"/>
      <c r="G131" s="1"/>
      <c r="H131" s="1"/>
      <c r="I131" s="1"/>
      <c r="J131" s="1"/>
      <c r="K131" s="1"/>
    </row>
    <row r="132" ht="12.75" customHeight="1">
      <c r="A132" s="1"/>
      <c r="B132" s="1"/>
      <c r="C132" s="1"/>
      <c r="D132" s="1"/>
      <c r="E132" s="1"/>
      <c r="F132" s="1"/>
      <c r="G132" s="1"/>
      <c r="H132" s="1"/>
      <c r="I132" s="1"/>
      <c r="J132" s="1"/>
      <c r="K132" s="1"/>
    </row>
    <row r="133" ht="12.75" customHeight="1">
      <c r="A133" s="1"/>
      <c r="B133" s="1"/>
      <c r="C133" s="1"/>
      <c r="D133" s="1"/>
      <c r="E133" s="1"/>
      <c r="F133" s="1"/>
      <c r="G133" s="1"/>
      <c r="H133" s="1"/>
      <c r="I133" s="1"/>
      <c r="J133" s="1"/>
      <c r="K133" s="1"/>
    </row>
    <row r="134" ht="12.75" customHeight="1">
      <c r="A134" s="1"/>
      <c r="B134" s="1"/>
      <c r="C134" s="1"/>
      <c r="D134" s="1"/>
      <c r="E134" s="1"/>
      <c r="F134" s="1"/>
      <c r="G134" s="1"/>
      <c r="H134" s="1"/>
      <c r="I134" s="1"/>
      <c r="J134" s="1"/>
      <c r="K134" s="1"/>
    </row>
    <row r="135" ht="12.75" customHeight="1">
      <c r="A135" s="1"/>
      <c r="B135" s="1"/>
      <c r="C135" s="1"/>
      <c r="D135" s="1"/>
      <c r="E135" s="1"/>
      <c r="F135" s="1"/>
      <c r="G135" s="1"/>
      <c r="H135" s="1"/>
      <c r="I135" s="1"/>
      <c r="J135" s="1"/>
      <c r="K135" s="1"/>
    </row>
    <row r="136" ht="12.75" customHeight="1">
      <c r="A136" s="1"/>
      <c r="B136" s="1"/>
      <c r="C136" s="1"/>
      <c r="D136" s="1"/>
      <c r="E136" s="1"/>
      <c r="F136" s="1"/>
      <c r="G136" s="1"/>
      <c r="H136" s="1"/>
      <c r="I136" s="1"/>
      <c r="J136" s="1"/>
      <c r="K136" s="1"/>
    </row>
    <row r="137" ht="12.75" customHeight="1">
      <c r="A137" s="1"/>
      <c r="B137" s="1"/>
      <c r="C137" s="1"/>
      <c r="D137" s="1"/>
      <c r="E137" s="1"/>
      <c r="F137" s="1"/>
      <c r="G137" s="1"/>
      <c r="H137" s="1"/>
      <c r="I137" s="1"/>
      <c r="J137" s="1"/>
      <c r="K137" s="1"/>
    </row>
    <row r="138" ht="12.75" customHeight="1">
      <c r="A138" s="1"/>
      <c r="B138" s="1"/>
      <c r="C138" s="1"/>
      <c r="D138" s="1"/>
      <c r="E138" s="1"/>
      <c r="F138" s="1"/>
      <c r="G138" s="1"/>
      <c r="H138" s="1"/>
      <c r="I138" s="1"/>
      <c r="J138" s="1"/>
      <c r="K138" s="1"/>
    </row>
    <row r="139" ht="12.75" customHeight="1">
      <c r="A139" s="1"/>
      <c r="B139" s="1"/>
      <c r="C139" s="1"/>
      <c r="D139" s="1"/>
      <c r="E139" s="1"/>
      <c r="F139" s="1"/>
      <c r="G139" s="1"/>
      <c r="H139" s="1"/>
      <c r="I139" s="1"/>
      <c r="J139" s="1"/>
      <c r="K139" s="1"/>
    </row>
    <row r="140" ht="12.75" customHeight="1">
      <c r="A140" s="1"/>
      <c r="B140" s="1"/>
      <c r="C140" s="1"/>
      <c r="D140" s="1"/>
      <c r="E140" s="1"/>
      <c r="F140" s="1"/>
      <c r="G140" s="1"/>
      <c r="H140" s="1"/>
      <c r="I140" s="1"/>
      <c r="J140" s="1"/>
      <c r="K140" s="1"/>
    </row>
    <row r="141" ht="12.75" customHeight="1">
      <c r="A141" s="1"/>
      <c r="B141" s="1"/>
      <c r="C141" s="1"/>
      <c r="D141" s="1"/>
      <c r="E141" s="1"/>
      <c r="F141" s="1"/>
      <c r="G141" s="1"/>
      <c r="H141" s="1"/>
      <c r="I141" s="1"/>
      <c r="J141" s="1"/>
      <c r="K141" s="1"/>
    </row>
    <row r="142" ht="12.75" customHeight="1">
      <c r="A142" s="1"/>
      <c r="B142" s="1"/>
      <c r="C142" s="1"/>
      <c r="D142" s="1"/>
      <c r="E142" s="1"/>
      <c r="F142" s="1"/>
      <c r="G142" s="1"/>
      <c r="H142" s="1"/>
      <c r="I142" s="1"/>
      <c r="J142" s="1"/>
      <c r="K142" s="1"/>
    </row>
    <row r="143" ht="12.75" customHeight="1">
      <c r="A143" s="1"/>
      <c r="B143" s="1"/>
      <c r="C143" s="1"/>
      <c r="D143" s="1"/>
      <c r="E143" s="1"/>
      <c r="F143" s="1"/>
      <c r="G143" s="1"/>
      <c r="H143" s="1"/>
      <c r="I143" s="1"/>
      <c r="J143" s="1"/>
      <c r="K143" s="1"/>
    </row>
    <row r="144" ht="12.75" customHeight="1">
      <c r="A144" s="1"/>
      <c r="B144" s="1"/>
      <c r="C144" s="1"/>
      <c r="D144" s="1"/>
      <c r="E144" s="1"/>
      <c r="F144" s="1"/>
      <c r="G144" s="1"/>
      <c r="H144" s="1"/>
      <c r="I144" s="1"/>
      <c r="J144" s="1"/>
      <c r="K144" s="1"/>
    </row>
    <row r="145" ht="12.75" customHeight="1">
      <c r="A145" s="1"/>
      <c r="B145" s="1"/>
      <c r="C145" s="1"/>
      <c r="D145" s="1"/>
      <c r="E145" s="1"/>
      <c r="F145" s="1"/>
      <c r="G145" s="1"/>
      <c r="H145" s="1"/>
      <c r="I145" s="1"/>
      <c r="J145" s="1"/>
      <c r="K145" s="1"/>
    </row>
    <row r="146" ht="12.75" customHeight="1">
      <c r="A146" s="1"/>
      <c r="B146" s="1"/>
      <c r="C146" s="1"/>
      <c r="D146" s="1"/>
      <c r="E146" s="1"/>
      <c r="F146" s="1"/>
      <c r="G146" s="1"/>
      <c r="H146" s="1"/>
      <c r="I146" s="1"/>
      <c r="J146" s="1"/>
      <c r="K146" s="1"/>
    </row>
    <row r="147" ht="12.75" customHeight="1">
      <c r="A147" s="1"/>
      <c r="B147" s="1"/>
      <c r="C147" s="1"/>
      <c r="D147" s="1"/>
      <c r="E147" s="1"/>
      <c r="F147" s="1"/>
      <c r="G147" s="1"/>
      <c r="H147" s="1"/>
      <c r="I147" s="1"/>
      <c r="J147" s="1"/>
      <c r="K147" s="1"/>
    </row>
    <row r="148" ht="12.75" customHeight="1">
      <c r="A148" s="1"/>
      <c r="B148" s="1"/>
      <c r="C148" s="1"/>
      <c r="D148" s="1"/>
      <c r="E148" s="1"/>
      <c r="F148" s="1"/>
      <c r="G148" s="1"/>
      <c r="H148" s="1"/>
      <c r="I148" s="1"/>
      <c r="J148" s="1"/>
      <c r="K148" s="1"/>
    </row>
    <row r="149" ht="12.75" customHeight="1">
      <c r="A149" s="1"/>
      <c r="B149" s="1"/>
      <c r="C149" s="1"/>
      <c r="D149" s="1"/>
      <c r="E149" s="1"/>
      <c r="F149" s="1"/>
      <c r="G149" s="1"/>
      <c r="H149" s="1"/>
      <c r="I149" s="1"/>
      <c r="J149" s="1"/>
      <c r="K149" s="1"/>
    </row>
    <row r="150" ht="12.75" customHeight="1">
      <c r="A150" s="1"/>
      <c r="B150" s="1"/>
      <c r="C150" s="1"/>
      <c r="D150" s="1"/>
      <c r="E150" s="1"/>
      <c r="F150" s="1"/>
      <c r="G150" s="1"/>
      <c r="H150" s="1"/>
      <c r="I150" s="1"/>
      <c r="J150" s="1"/>
      <c r="K150" s="1"/>
    </row>
    <row r="151" ht="12.75" customHeight="1">
      <c r="A151" s="1"/>
      <c r="B151" s="1"/>
      <c r="C151" s="1"/>
      <c r="D151" s="1"/>
      <c r="E151" s="1"/>
      <c r="F151" s="1"/>
      <c r="G151" s="1"/>
      <c r="H151" s="1"/>
      <c r="I151" s="1"/>
      <c r="J151" s="1"/>
      <c r="K151" s="1"/>
    </row>
    <row r="152" ht="12.75" customHeight="1">
      <c r="A152" s="1"/>
      <c r="B152" s="1"/>
      <c r="C152" s="1"/>
      <c r="D152" s="1"/>
      <c r="E152" s="1"/>
      <c r="F152" s="1"/>
      <c r="G152" s="1"/>
      <c r="H152" s="1"/>
      <c r="I152" s="1"/>
      <c r="J152" s="1"/>
      <c r="K152" s="1"/>
    </row>
    <row r="153" ht="12.75" customHeight="1">
      <c r="A153" s="1"/>
      <c r="B153" s="1"/>
      <c r="C153" s="1"/>
      <c r="D153" s="1"/>
      <c r="E153" s="1"/>
      <c r="F153" s="1"/>
      <c r="G153" s="1"/>
      <c r="H153" s="1"/>
      <c r="I153" s="1"/>
      <c r="J153" s="1"/>
      <c r="K153" s="1"/>
    </row>
    <row r="154" ht="12.75" customHeight="1">
      <c r="A154" s="1"/>
      <c r="B154" s="1"/>
      <c r="C154" s="1"/>
      <c r="D154" s="1"/>
      <c r="E154" s="1"/>
      <c r="F154" s="1"/>
      <c r="G154" s="1"/>
      <c r="H154" s="1"/>
      <c r="I154" s="1"/>
      <c r="J154" s="1"/>
      <c r="K154" s="1"/>
    </row>
    <row r="155" ht="12.75" customHeight="1">
      <c r="A155" s="1"/>
      <c r="B155" s="1"/>
      <c r="C155" s="1"/>
      <c r="D155" s="1"/>
      <c r="E155" s="1"/>
      <c r="F155" s="1"/>
      <c r="G155" s="1"/>
      <c r="H155" s="1"/>
      <c r="I155" s="1"/>
      <c r="J155" s="1"/>
      <c r="K155" s="1"/>
    </row>
    <row r="156" ht="12.75" customHeight="1">
      <c r="A156" s="1"/>
      <c r="B156" s="1"/>
      <c r="C156" s="1"/>
      <c r="D156" s="1"/>
      <c r="E156" s="1"/>
      <c r="F156" s="1"/>
      <c r="G156" s="1"/>
      <c r="H156" s="1"/>
      <c r="I156" s="1"/>
      <c r="J156" s="1"/>
      <c r="K156" s="1"/>
    </row>
    <row r="157" ht="12.75" customHeight="1">
      <c r="A157" s="1"/>
      <c r="B157" s="1"/>
      <c r="C157" s="1"/>
      <c r="D157" s="1"/>
      <c r="E157" s="1"/>
      <c r="F157" s="1"/>
      <c r="G157" s="1"/>
      <c r="H157" s="1"/>
      <c r="I157" s="1"/>
      <c r="J157" s="1"/>
      <c r="K157" s="1"/>
    </row>
    <row r="158" ht="12.75" customHeight="1">
      <c r="A158" s="1"/>
      <c r="B158" s="1"/>
      <c r="C158" s="1"/>
      <c r="D158" s="1"/>
      <c r="E158" s="1"/>
      <c r="F158" s="1"/>
      <c r="G158" s="1"/>
      <c r="H158" s="1"/>
      <c r="I158" s="1"/>
      <c r="J158" s="1"/>
      <c r="K158" s="1"/>
    </row>
    <row r="159" ht="12.75" customHeight="1">
      <c r="A159" s="1"/>
      <c r="B159" s="1"/>
      <c r="C159" s="1"/>
      <c r="D159" s="1"/>
      <c r="E159" s="1"/>
      <c r="F159" s="1"/>
      <c r="G159" s="1"/>
      <c r="H159" s="1"/>
      <c r="I159" s="1"/>
      <c r="J159" s="1"/>
      <c r="K159" s="1"/>
    </row>
    <row r="160" ht="12.75" customHeight="1">
      <c r="A160" s="1"/>
      <c r="B160" s="1"/>
      <c r="C160" s="1"/>
      <c r="D160" s="1"/>
      <c r="E160" s="1"/>
      <c r="F160" s="1"/>
      <c r="G160" s="1"/>
      <c r="H160" s="1"/>
      <c r="I160" s="1"/>
      <c r="J160" s="1"/>
      <c r="K160" s="1"/>
    </row>
    <row r="161" ht="12.75" customHeight="1">
      <c r="A161" s="1"/>
      <c r="B161" s="1"/>
      <c r="C161" s="1"/>
      <c r="D161" s="1"/>
      <c r="E161" s="1"/>
      <c r="F161" s="1"/>
      <c r="G161" s="1"/>
      <c r="H161" s="1"/>
      <c r="I161" s="1"/>
      <c r="J161" s="1"/>
      <c r="K161" s="1"/>
    </row>
    <row r="162" ht="12.75" customHeight="1">
      <c r="A162" s="1"/>
      <c r="B162" s="1"/>
      <c r="C162" s="1"/>
      <c r="D162" s="1"/>
      <c r="E162" s="1"/>
      <c r="F162" s="1"/>
      <c r="G162" s="1"/>
      <c r="H162" s="1"/>
      <c r="I162" s="1"/>
      <c r="J162" s="1"/>
      <c r="K162" s="1"/>
    </row>
    <row r="163" ht="12.75" customHeight="1">
      <c r="A163" s="1"/>
      <c r="B163" s="1"/>
      <c r="C163" s="1"/>
      <c r="D163" s="1"/>
      <c r="E163" s="1"/>
      <c r="F163" s="1"/>
      <c r="G163" s="1"/>
      <c r="H163" s="1"/>
      <c r="I163" s="1"/>
      <c r="J163" s="1"/>
      <c r="K163" s="1"/>
    </row>
    <row r="164" ht="12.75" customHeight="1">
      <c r="A164" s="1"/>
      <c r="B164" s="1"/>
      <c r="C164" s="1"/>
      <c r="D164" s="1"/>
      <c r="E164" s="1"/>
      <c r="F164" s="1"/>
      <c r="G164" s="1"/>
      <c r="H164" s="1"/>
      <c r="I164" s="1"/>
      <c r="J164" s="1"/>
      <c r="K164" s="1"/>
    </row>
    <row r="165" ht="12.75" customHeight="1">
      <c r="A165" s="1"/>
      <c r="B165" s="1"/>
      <c r="C165" s="1"/>
      <c r="D165" s="1"/>
      <c r="E165" s="1"/>
      <c r="F165" s="1"/>
      <c r="G165" s="1"/>
      <c r="H165" s="1"/>
      <c r="I165" s="1"/>
      <c r="J165" s="1"/>
      <c r="K165" s="1"/>
    </row>
    <row r="166" ht="12.75" customHeight="1">
      <c r="A166" s="1"/>
      <c r="B166" s="1"/>
      <c r="C166" s="1"/>
      <c r="D166" s="1"/>
      <c r="E166" s="1"/>
      <c r="F166" s="1"/>
      <c r="G166" s="1"/>
      <c r="H166" s="1"/>
      <c r="I166" s="1"/>
      <c r="J166" s="1"/>
      <c r="K166" s="1"/>
    </row>
    <row r="167" ht="12.75" customHeight="1">
      <c r="A167" s="1"/>
      <c r="B167" s="1"/>
      <c r="C167" s="1"/>
      <c r="D167" s="1"/>
      <c r="E167" s="1"/>
      <c r="F167" s="1"/>
      <c r="G167" s="1"/>
      <c r="H167" s="1"/>
      <c r="I167" s="1"/>
      <c r="J167" s="1"/>
      <c r="K167" s="1"/>
    </row>
    <row r="168" ht="12.75" customHeight="1">
      <c r="A168" s="1"/>
      <c r="B168" s="1"/>
      <c r="C168" s="1"/>
      <c r="D168" s="1"/>
      <c r="E168" s="1"/>
      <c r="F168" s="1"/>
      <c r="G168" s="1"/>
      <c r="H168" s="1"/>
      <c r="I168" s="1"/>
      <c r="J168" s="1"/>
      <c r="K168" s="1"/>
    </row>
    <row r="169" ht="12.75" customHeight="1">
      <c r="A169" s="1"/>
      <c r="B169" s="1"/>
      <c r="C169" s="1"/>
      <c r="D169" s="1"/>
      <c r="E169" s="1"/>
      <c r="F169" s="1"/>
      <c r="G169" s="1"/>
      <c r="H169" s="1"/>
      <c r="I169" s="1"/>
      <c r="J169" s="1"/>
      <c r="K169" s="1"/>
    </row>
    <row r="170" ht="12.75" customHeight="1">
      <c r="A170" s="1"/>
      <c r="B170" s="1"/>
      <c r="C170" s="1"/>
      <c r="D170" s="1"/>
      <c r="E170" s="1"/>
      <c r="F170" s="1"/>
      <c r="G170" s="1"/>
      <c r="H170" s="1"/>
      <c r="I170" s="1"/>
      <c r="J170" s="1"/>
      <c r="K170" s="1"/>
    </row>
    <row r="171" ht="12.75" customHeight="1">
      <c r="A171" s="1"/>
      <c r="B171" s="1"/>
      <c r="C171" s="1"/>
      <c r="D171" s="1"/>
      <c r="E171" s="1"/>
      <c r="F171" s="1"/>
      <c r="G171" s="1"/>
      <c r="H171" s="1"/>
      <c r="I171" s="1"/>
      <c r="J171" s="1"/>
      <c r="K171" s="1"/>
    </row>
    <row r="172" ht="12.75" customHeight="1">
      <c r="A172" s="1"/>
      <c r="B172" s="1"/>
      <c r="C172" s="1"/>
      <c r="D172" s="1"/>
      <c r="E172" s="1"/>
      <c r="F172" s="1"/>
      <c r="G172" s="1"/>
      <c r="H172" s="1"/>
      <c r="I172" s="1"/>
      <c r="J172" s="1"/>
      <c r="K172" s="1"/>
    </row>
    <row r="173" ht="12.75" customHeight="1">
      <c r="A173" s="1"/>
      <c r="B173" s="1"/>
      <c r="C173" s="1"/>
      <c r="D173" s="1"/>
      <c r="E173" s="1"/>
      <c r="F173" s="1"/>
      <c r="G173" s="1"/>
      <c r="H173" s="1"/>
      <c r="I173" s="1"/>
      <c r="J173" s="1"/>
      <c r="K173" s="1"/>
    </row>
    <row r="174" ht="12.75" customHeight="1">
      <c r="A174" s="1"/>
      <c r="B174" s="1"/>
      <c r="C174" s="1"/>
      <c r="D174" s="1"/>
      <c r="E174" s="1"/>
      <c r="F174" s="1"/>
      <c r="G174" s="1"/>
      <c r="H174" s="1"/>
      <c r="I174" s="1"/>
      <c r="J174" s="1"/>
      <c r="K174" s="1"/>
    </row>
    <row r="175" ht="12.75" customHeight="1">
      <c r="A175" s="1"/>
      <c r="B175" s="1"/>
      <c r="C175" s="1"/>
      <c r="D175" s="1"/>
      <c r="E175" s="1"/>
      <c r="F175" s="1"/>
      <c r="G175" s="1"/>
      <c r="H175" s="1"/>
      <c r="I175" s="1"/>
      <c r="J175" s="1"/>
      <c r="K175" s="1"/>
    </row>
    <row r="176" ht="12.75" customHeight="1">
      <c r="A176" s="1"/>
      <c r="B176" s="1"/>
      <c r="C176" s="1"/>
      <c r="D176" s="1"/>
      <c r="E176" s="1"/>
      <c r="F176" s="1"/>
      <c r="G176" s="1"/>
      <c r="H176" s="1"/>
      <c r="I176" s="1"/>
      <c r="J176" s="1"/>
      <c r="K176" s="1"/>
    </row>
    <row r="177" ht="12.75" customHeight="1">
      <c r="A177" s="1"/>
      <c r="B177" s="1"/>
      <c r="C177" s="1"/>
      <c r="D177" s="1"/>
      <c r="E177" s="1"/>
      <c r="F177" s="1"/>
      <c r="G177" s="1"/>
      <c r="H177" s="1"/>
      <c r="I177" s="1"/>
      <c r="J177" s="1"/>
      <c r="K177" s="1"/>
    </row>
    <row r="178" ht="12.75" customHeight="1">
      <c r="A178" s="1"/>
      <c r="B178" s="1"/>
      <c r="C178" s="1"/>
      <c r="D178" s="1"/>
      <c r="E178" s="1"/>
      <c r="F178" s="1"/>
      <c r="G178" s="1"/>
      <c r="H178" s="1"/>
      <c r="I178" s="1"/>
      <c r="J178" s="1"/>
      <c r="K178" s="1"/>
    </row>
    <row r="179" ht="12.75" customHeight="1">
      <c r="A179" s="1"/>
      <c r="B179" s="1"/>
      <c r="C179" s="1"/>
      <c r="D179" s="1"/>
      <c r="E179" s="1"/>
      <c r="F179" s="1"/>
      <c r="G179" s="1"/>
      <c r="H179" s="1"/>
      <c r="I179" s="1"/>
      <c r="J179" s="1"/>
      <c r="K179" s="1"/>
    </row>
    <row r="180" ht="12.75" customHeight="1">
      <c r="A180" s="1"/>
      <c r="B180" s="1"/>
      <c r="C180" s="1"/>
      <c r="D180" s="1"/>
      <c r="E180" s="1"/>
      <c r="F180" s="1"/>
      <c r="G180" s="1"/>
      <c r="H180" s="1"/>
      <c r="I180" s="1"/>
      <c r="J180" s="1"/>
      <c r="K180" s="1"/>
    </row>
    <row r="181" ht="12.75" customHeight="1">
      <c r="A181" s="1"/>
      <c r="B181" s="1"/>
      <c r="C181" s="1"/>
      <c r="D181" s="1"/>
      <c r="E181" s="1"/>
      <c r="F181" s="1"/>
      <c r="G181" s="1"/>
      <c r="H181" s="1"/>
      <c r="I181" s="1"/>
      <c r="J181" s="1"/>
      <c r="K181" s="1"/>
    </row>
    <row r="182" ht="12.75" customHeight="1">
      <c r="A182" s="1"/>
      <c r="B182" s="1"/>
      <c r="C182" s="1"/>
      <c r="D182" s="1"/>
      <c r="E182" s="1"/>
      <c r="F182" s="1"/>
      <c r="G182" s="1"/>
      <c r="H182" s="1"/>
      <c r="I182" s="1"/>
      <c r="J182" s="1"/>
      <c r="K182" s="1"/>
    </row>
    <row r="183" ht="12.75" customHeight="1">
      <c r="A183" s="1"/>
      <c r="B183" s="1"/>
      <c r="C183" s="1"/>
      <c r="D183" s="1"/>
      <c r="E183" s="1"/>
      <c r="F183" s="1"/>
      <c r="G183" s="1"/>
      <c r="H183" s="1"/>
      <c r="I183" s="1"/>
      <c r="J183" s="1"/>
      <c r="K183" s="1"/>
    </row>
    <row r="184" ht="12.75" customHeight="1">
      <c r="A184" s="1"/>
      <c r="B184" s="1"/>
      <c r="C184" s="1"/>
      <c r="D184" s="1"/>
      <c r="E184" s="1"/>
      <c r="F184" s="1"/>
      <c r="G184" s="1"/>
      <c r="H184" s="1"/>
      <c r="I184" s="1"/>
      <c r="J184" s="1"/>
      <c r="K184" s="1"/>
    </row>
    <row r="185" ht="12.75" customHeight="1">
      <c r="A185" s="1"/>
      <c r="B185" s="1"/>
      <c r="C185" s="1"/>
      <c r="D185" s="1"/>
      <c r="E185" s="1"/>
      <c r="F185" s="1"/>
      <c r="G185" s="1"/>
      <c r="H185" s="1"/>
      <c r="I185" s="1"/>
      <c r="J185" s="1"/>
      <c r="K185" s="1"/>
    </row>
    <row r="186" ht="12.75" customHeight="1">
      <c r="A186" s="1"/>
      <c r="B186" s="1"/>
      <c r="C186" s="1"/>
      <c r="D186" s="1"/>
      <c r="E186" s="1"/>
      <c r="F186" s="1"/>
      <c r="G186" s="1"/>
      <c r="H186" s="1"/>
      <c r="I186" s="1"/>
      <c r="J186" s="1"/>
      <c r="K186" s="1"/>
    </row>
    <row r="187" ht="12.75" customHeight="1">
      <c r="A187" s="1"/>
      <c r="B187" s="1"/>
      <c r="C187" s="1"/>
      <c r="D187" s="1"/>
      <c r="E187" s="1"/>
      <c r="F187" s="1"/>
      <c r="G187" s="1"/>
      <c r="H187" s="1"/>
      <c r="I187" s="1"/>
      <c r="J187" s="1"/>
      <c r="K187" s="1"/>
    </row>
    <row r="188" ht="12.75" customHeight="1">
      <c r="A188" s="1"/>
      <c r="B188" s="1"/>
      <c r="C188" s="1"/>
      <c r="D188" s="1"/>
      <c r="E188" s="1"/>
      <c r="F188" s="1"/>
      <c r="G188" s="1"/>
      <c r="H188" s="1"/>
      <c r="I188" s="1"/>
      <c r="J188" s="1"/>
      <c r="K188" s="1"/>
    </row>
    <row r="189" ht="12.75" customHeight="1">
      <c r="A189" s="1"/>
      <c r="B189" s="1"/>
      <c r="C189" s="1"/>
      <c r="D189" s="1"/>
      <c r="E189" s="1"/>
      <c r="F189" s="1"/>
      <c r="G189" s="1"/>
      <c r="H189" s="1"/>
      <c r="I189" s="1"/>
      <c r="J189" s="1"/>
      <c r="K189" s="1"/>
    </row>
    <row r="190" ht="12.75" customHeight="1">
      <c r="A190" s="1"/>
      <c r="B190" s="1"/>
      <c r="C190" s="1"/>
      <c r="D190" s="1"/>
      <c r="E190" s="1"/>
      <c r="F190" s="1"/>
      <c r="G190" s="1"/>
      <c r="H190" s="1"/>
      <c r="I190" s="1"/>
      <c r="J190" s="1"/>
      <c r="K190" s="1"/>
    </row>
    <row r="191" ht="12.75" customHeight="1">
      <c r="A191" s="1"/>
      <c r="B191" s="1"/>
      <c r="C191" s="1"/>
      <c r="D191" s="1"/>
      <c r="E191" s="1"/>
      <c r="F191" s="1"/>
      <c r="G191" s="1"/>
      <c r="H191" s="1"/>
      <c r="I191" s="1"/>
      <c r="J191" s="1"/>
      <c r="K191" s="1"/>
    </row>
    <row r="192" ht="12.75" customHeight="1">
      <c r="A192" s="1"/>
      <c r="B192" s="1"/>
      <c r="C192" s="1"/>
      <c r="D192" s="1"/>
      <c r="E192" s="1"/>
      <c r="F192" s="1"/>
      <c r="G192" s="1"/>
      <c r="H192" s="1"/>
      <c r="I192" s="1"/>
      <c r="J192" s="1"/>
      <c r="K192" s="1"/>
    </row>
    <row r="193" ht="12.75" customHeight="1">
      <c r="A193" s="1"/>
      <c r="B193" s="1"/>
      <c r="C193" s="1"/>
      <c r="D193" s="1"/>
      <c r="E193" s="1"/>
      <c r="F193" s="1"/>
      <c r="G193" s="1"/>
      <c r="H193" s="1"/>
      <c r="I193" s="1"/>
      <c r="J193" s="1"/>
      <c r="K193" s="1"/>
    </row>
    <row r="194" ht="12.75" customHeight="1">
      <c r="A194" s="1"/>
      <c r="B194" s="1"/>
      <c r="C194" s="1"/>
      <c r="D194" s="1"/>
      <c r="E194" s="1"/>
      <c r="F194" s="1"/>
      <c r="G194" s="1"/>
      <c r="H194" s="1"/>
      <c r="I194" s="1"/>
      <c r="J194" s="1"/>
      <c r="K194" s="1"/>
    </row>
    <row r="195" ht="12.75" customHeight="1">
      <c r="A195" s="1"/>
      <c r="B195" s="1"/>
      <c r="C195" s="1"/>
      <c r="D195" s="1"/>
      <c r="E195" s="1"/>
      <c r="F195" s="1"/>
      <c r="G195" s="1"/>
      <c r="H195" s="1"/>
      <c r="I195" s="1"/>
      <c r="J195" s="1"/>
      <c r="K195" s="1"/>
    </row>
    <row r="196" ht="12.75" customHeight="1">
      <c r="A196" s="1"/>
      <c r="B196" s="1"/>
      <c r="C196" s="1"/>
      <c r="D196" s="1"/>
      <c r="E196" s="1"/>
      <c r="F196" s="1"/>
      <c r="G196" s="1"/>
      <c r="H196" s="1"/>
      <c r="I196" s="1"/>
      <c r="J196" s="1"/>
      <c r="K196" s="1"/>
    </row>
    <row r="197" ht="12.75" customHeight="1">
      <c r="A197" s="1"/>
      <c r="B197" s="1"/>
      <c r="C197" s="1"/>
      <c r="D197" s="1"/>
      <c r="E197" s="1"/>
      <c r="F197" s="1"/>
      <c r="G197" s="1"/>
      <c r="H197" s="1"/>
      <c r="I197" s="1"/>
      <c r="J197" s="1"/>
      <c r="K197" s="1"/>
    </row>
    <row r="198" ht="12.75" customHeight="1">
      <c r="A198" s="1"/>
      <c r="B198" s="1"/>
      <c r="C198" s="1"/>
      <c r="D198" s="1"/>
      <c r="E198" s="1"/>
      <c r="F198" s="1"/>
      <c r="G198" s="1"/>
      <c r="H198" s="1"/>
      <c r="I198" s="1"/>
      <c r="J198" s="1"/>
      <c r="K198" s="1"/>
    </row>
    <row r="199" ht="12.75" customHeight="1">
      <c r="A199" s="1"/>
      <c r="B199" s="1"/>
      <c r="C199" s="1"/>
      <c r="D199" s="1"/>
      <c r="E199" s="1"/>
      <c r="F199" s="1"/>
      <c r="G199" s="1"/>
      <c r="H199" s="1"/>
      <c r="I199" s="1"/>
      <c r="J199" s="1"/>
      <c r="K199" s="1"/>
    </row>
    <row r="200" ht="12.75" customHeight="1">
      <c r="A200" s="1"/>
      <c r="B200" s="1"/>
      <c r="C200" s="1"/>
      <c r="D200" s="1"/>
      <c r="E200" s="1"/>
      <c r="F200" s="1"/>
      <c r="G200" s="1"/>
      <c r="H200" s="1"/>
      <c r="I200" s="1"/>
      <c r="J200" s="1"/>
      <c r="K200" s="1"/>
    </row>
    <row r="201" ht="12.75" customHeight="1">
      <c r="A201" s="1"/>
      <c r="B201" s="1"/>
      <c r="C201" s="1"/>
      <c r="D201" s="1"/>
      <c r="E201" s="1"/>
      <c r="F201" s="1"/>
      <c r="G201" s="1"/>
      <c r="H201" s="1"/>
      <c r="I201" s="1"/>
      <c r="J201" s="1"/>
      <c r="K201" s="1"/>
    </row>
    <row r="202" ht="12.75" customHeight="1">
      <c r="A202" s="1"/>
      <c r="B202" s="1"/>
      <c r="C202" s="1"/>
      <c r="D202" s="1"/>
      <c r="E202" s="1"/>
      <c r="F202" s="1"/>
      <c r="G202" s="1"/>
      <c r="H202" s="1"/>
      <c r="I202" s="1"/>
      <c r="J202" s="1"/>
      <c r="K202" s="1"/>
    </row>
    <row r="203" ht="12.75" customHeight="1">
      <c r="A203" s="1"/>
      <c r="B203" s="1"/>
      <c r="C203" s="1"/>
      <c r="D203" s="1"/>
      <c r="E203" s="1"/>
      <c r="F203" s="1"/>
      <c r="G203" s="1"/>
      <c r="H203" s="1"/>
      <c r="I203" s="1"/>
      <c r="J203" s="1"/>
      <c r="K203" s="1"/>
    </row>
    <row r="204" ht="12.75" customHeight="1">
      <c r="A204" s="1"/>
      <c r="B204" s="1"/>
      <c r="C204" s="1"/>
      <c r="D204" s="1"/>
      <c r="E204" s="1"/>
      <c r="F204" s="1"/>
      <c r="G204" s="1"/>
      <c r="H204" s="1"/>
      <c r="I204" s="1"/>
      <c r="J204" s="1"/>
      <c r="K204" s="1"/>
    </row>
    <row r="205" ht="12.75" customHeight="1">
      <c r="A205" s="1"/>
      <c r="B205" s="1"/>
      <c r="C205" s="1"/>
      <c r="D205" s="1"/>
      <c r="E205" s="1"/>
      <c r="F205" s="1"/>
      <c r="G205" s="1"/>
      <c r="H205" s="1"/>
      <c r="I205" s="1"/>
      <c r="J205" s="1"/>
      <c r="K205" s="1"/>
    </row>
    <row r="206" ht="12.75" customHeight="1">
      <c r="A206" s="1"/>
      <c r="B206" s="1"/>
      <c r="C206" s="1"/>
      <c r="D206" s="1"/>
      <c r="E206" s="1"/>
      <c r="F206" s="1"/>
      <c r="G206" s="1"/>
      <c r="H206" s="1"/>
      <c r="I206" s="1"/>
      <c r="J206" s="1"/>
      <c r="K206" s="1"/>
    </row>
    <row r="207" ht="12.75" customHeight="1">
      <c r="A207" s="1"/>
      <c r="B207" s="1"/>
      <c r="C207" s="1"/>
      <c r="D207" s="1"/>
      <c r="E207" s="1"/>
      <c r="F207" s="1"/>
      <c r="G207" s="1"/>
      <c r="H207" s="1"/>
      <c r="I207" s="1"/>
      <c r="J207" s="1"/>
      <c r="K207" s="1"/>
    </row>
    <row r="208" ht="12.75" customHeight="1">
      <c r="A208" s="1"/>
      <c r="B208" s="1"/>
      <c r="C208" s="1"/>
      <c r="D208" s="1"/>
      <c r="E208" s="1"/>
      <c r="F208" s="1"/>
      <c r="G208" s="1"/>
      <c r="H208" s="1"/>
      <c r="I208" s="1"/>
      <c r="J208" s="1"/>
      <c r="K208" s="1"/>
    </row>
    <row r="209" ht="12.75" customHeight="1">
      <c r="A209" s="1"/>
      <c r="B209" s="1"/>
      <c r="C209" s="1"/>
      <c r="D209" s="1"/>
      <c r="E209" s="1"/>
      <c r="F209" s="1"/>
      <c r="G209" s="1"/>
      <c r="H209" s="1"/>
      <c r="I209" s="1"/>
      <c r="J209" s="1"/>
      <c r="K209" s="1"/>
    </row>
    <row r="210" ht="12.75" customHeight="1">
      <c r="A210" s="1"/>
      <c r="B210" s="1"/>
      <c r="C210" s="1"/>
      <c r="D210" s="1"/>
      <c r="E210" s="1"/>
      <c r="F210" s="1"/>
      <c r="G210" s="1"/>
      <c r="H210" s="1"/>
      <c r="I210" s="1"/>
      <c r="J210" s="1"/>
      <c r="K210" s="1"/>
    </row>
    <row r="211" ht="12.75" customHeight="1">
      <c r="A211" s="1"/>
      <c r="B211" s="1"/>
      <c r="C211" s="1"/>
      <c r="D211" s="1"/>
      <c r="E211" s="1"/>
      <c r="F211" s="1"/>
      <c r="G211" s="1"/>
      <c r="H211" s="1"/>
      <c r="I211" s="1"/>
      <c r="J211" s="1"/>
      <c r="K211" s="1"/>
    </row>
    <row r="212" ht="12.75" customHeight="1">
      <c r="A212" s="1"/>
      <c r="B212" s="1"/>
      <c r="C212" s="1"/>
      <c r="D212" s="1"/>
      <c r="E212" s="1"/>
      <c r="F212" s="1"/>
      <c r="G212" s="1"/>
      <c r="H212" s="1"/>
      <c r="I212" s="1"/>
      <c r="J212" s="1"/>
      <c r="K212" s="1"/>
    </row>
    <row r="213" ht="12.75" customHeight="1">
      <c r="A213" s="1"/>
      <c r="B213" s="1"/>
      <c r="C213" s="1"/>
      <c r="D213" s="1"/>
      <c r="E213" s="1"/>
      <c r="F213" s="1"/>
      <c r="G213" s="1"/>
      <c r="H213" s="1"/>
      <c r="I213" s="1"/>
      <c r="J213" s="1"/>
      <c r="K213" s="1"/>
    </row>
    <row r="214" ht="12.75" customHeight="1">
      <c r="A214" s="1"/>
      <c r="B214" s="1"/>
      <c r="C214" s="1"/>
      <c r="D214" s="1"/>
      <c r="E214" s="1"/>
      <c r="F214" s="1"/>
      <c r="G214" s="1"/>
      <c r="H214" s="1"/>
      <c r="I214" s="1"/>
      <c r="J214" s="1"/>
      <c r="K214" s="1"/>
    </row>
    <row r="215" ht="12.75" customHeight="1">
      <c r="A215" s="1"/>
      <c r="B215" s="1"/>
      <c r="C215" s="1"/>
      <c r="D215" s="1"/>
      <c r="E215" s="1"/>
      <c r="F215" s="1"/>
      <c r="G215" s="1"/>
      <c r="H215" s="1"/>
      <c r="I215" s="1"/>
      <c r="J215" s="1"/>
      <c r="K215" s="1"/>
    </row>
    <row r="216" ht="12.75" customHeight="1">
      <c r="A216" s="1"/>
      <c r="B216" s="1"/>
      <c r="C216" s="1"/>
      <c r="D216" s="1"/>
      <c r="E216" s="1"/>
      <c r="F216" s="1"/>
      <c r="G216" s="1"/>
      <c r="H216" s="1"/>
      <c r="I216" s="1"/>
      <c r="J216" s="1"/>
      <c r="K216" s="1"/>
    </row>
    <row r="217" ht="12.75" customHeight="1">
      <c r="A217" s="1"/>
      <c r="B217" s="1"/>
      <c r="C217" s="1"/>
      <c r="D217" s="1"/>
      <c r="E217" s="1"/>
      <c r="F217" s="1"/>
      <c r="G217" s="1"/>
      <c r="H217" s="1"/>
      <c r="I217" s="1"/>
      <c r="J217" s="1"/>
      <c r="K217" s="1"/>
    </row>
    <row r="218" ht="12.75" customHeight="1">
      <c r="A218" s="1"/>
      <c r="B218" s="1"/>
      <c r="C218" s="1"/>
      <c r="D218" s="1"/>
      <c r="E218" s="1"/>
      <c r="F218" s="1"/>
      <c r="G218" s="1"/>
      <c r="H218" s="1"/>
      <c r="I218" s="1"/>
      <c r="J218" s="1"/>
      <c r="K218" s="1"/>
    </row>
    <row r="219" ht="12.75" customHeight="1">
      <c r="A219" s="1"/>
      <c r="B219" s="1"/>
      <c r="C219" s="1"/>
      <c r="D219" s="1"/>
      <c r="E219" s="1"/>
      <c r="F219" s="1"/>
      <c r="G219" s="1"/>
      <c r="H219" s="1"/>
      <c r="I219" s="1"/>
      <c r="J219" s="1"/>
      <c r="K219" s="1"/>
    </row>
    <row r="220" ht="12.75" customHeight="1">
      <c r="A220" s="1"/>
      <c r="B220" s="1"/>
      <c r="C220" s="1"/>
      <c r="D220" s="1"/>
      <c r="E220" s="1"/>
      <c r="F220" s="1"/>
      <c r="G220" s="1"/>
      <c r="H220" s="1"/>
      <c r="I220" s="1"/>
      <c r="J220" s="1"/>
      <c r="K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G1"/>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74C3C"/>
    <pageSetUpPr/>
  </sheetPr>
  <sheetViews>
    <sheetView showGridLines="0" workbookViewId="0"/>
  </sheetViews>
  <sheetFormatPr customHeight="1" defaultColWidth="12.63" defaultRowHeight="15.0"/>
  <cols>
    <col customWidth="1" min="1" max="1" width="2.0"/>
    <col customWidth="1" min="2" max="2" width="42.0"/>
    <col customWidth="1" min="3" max="7" width="14.0"/>
    <col customWidth="1" min="8" max="26" width="12.75"/>
  </cols>
  <sheetData>
    <row r="1" ht="30.0" customHeight="1">
      <c r="A1" s="6"/>
      <c r="B1" s="7" t="s">
        <v>55</v>
      </c>
      <c r="C1" s="13"/>
      <c r="D1" s="13"/>
      <c r="E1" s="13"/>
      <c r="F1" s="13"/>
      <c r="G1" s="10"/>
      <c r="H1" s="6"/>
      <c r="I1" s="6"/>
      <c r="J1" s="1"/>
      <c r="K1" s="1"/>
      <c r="L1" s="1"/>
    </row>
    <row r="2" ht="4.5" customHeight="1">
      <c r="A2" s="6"/>
      <c r="B2" s="6"/>
      <c r="C2" s="6"/>
      <c r="D2" s="6"/>
      <c r="E2" s="6"/>
      <c r="F2" s="6"/>
      <c r="G2" s="6"/>
      <c r="H2" s="6"/>
      <c r="I2" s="6"/>
      <c r="J2" s="1"/>
      <c r="K2" s="1"/>
      <c r="L2" s="1"/>
    </row>
    <row r="3" ht="18.0" customHeight="1">
      <c r="A3" s="6"/>
      <c r="B3" s="57" t="s">
        <v>4</v>
      </c>
      <c r="C3" s="57" t="s">
        <v>12</v>
      </c>
      <c r="D3" s="57" t="s">
        <v>14</v>
      </c>
      <c r="E3" s="57" t="s">
        <v>15</v>
      </c>
      <c r="F3" s="57" t="s">
        <v>16</v>
      </c>
      <c r="G3" s="57" t="s">
        <v>18</v>
      </c>
      <c r="H3" s="6"/>
      <c r="I3" s="6"/>
      <c r="J3" s="1"/>
      <c r="K3" s="1"/>
      <c r="L3" s="1"/>
    </row>
    <row r="4" ht="19.5" customHeight="1">
      <c r="A4" s="6"/>
      <c r="B4" s="60" t="s">
        <v>56</v>
      </c>
      <c r="C4" s="62">
        <v>0.2</v>
      </c>
      <c r="D4" s="62">
        <v>0.2</v>
      </c>
      <c r="E4" s="62">
        <v>0.2</v>
      </c>
      <c r="F4" s="62">
        <v>0.2</v>
      </c>
      <c r="G4" s="62">
        <v>0.2</v>
      </c>
      <c r="H4" s="6"/>
      <c r="I4" s="6"/>
      <c r="J4" s="1"/>
      <c r="K4" s="1"/>
      <c r="L4" s="1"/>
    </row>
    <row r="5" ht="18.75" customHeight="1">
      <c r="A5" s="6"/>
      <c r="B5" s="60" t="s">
        <v>57</v>
      </c>
      <c r="C5" s="64">
        <v>0.2437</v>
      </c>
      <c r="D5" s="64">
        <v>0.2115</v>
      </c>
      <c r="E5" s="64">
        <v>0.2151</v>
      </c>
      <c r="F5" s="64">
        <v>0.1756</v>
      </c>
      <c r="G5" s="64">
        <v>0.1541</v>
      </c>
      <c r="H5" s="6"/>
      <c r="I5" s="6"/>
      <c r="J5" s="1"/>
      <c r="K5" s="1"/>
      <c r="L5" s="1"/>
      <c r="M5" s="1"/>
      <c r="N5" s="1"/>
      <c r="O5" s="1"/>
      <c r="P5" s="1"/>
      <c r="Q5" s="1"/>
      <c r="R5" s="1"/>
      <c r="S5" s="1"/>
      <c r="T5" s="1"/>
      <c r="U5" s="1"/>
      <c r="V5" s="1"/>
      <c r="W5" s="1"/>
      <c r="X5" s="1"/>
      <c r="Y5" s="1"/>
      <c r="Z5" s="1"/>
    </row>
    <row r="6" ht="18.0" customHeight="1">
      <c r="A6" s="6"/>
      <c r="B6" s="65" t="s">
        <v>58</v>
      </c>
      <c r="C6" s="66">
        <f t="array" ref="C6">(drug_costs * total_treated) / nice_threshold * (C4 / Q1_P)</f>
        <v>0.00002716408159</v>
      </c>
      <c r="D6" s="66">
        <f t="array" ref="D6">(drug_costs * total_treated) / nice_threshold * (D4 / Q2_P)</f>
        <v>0.00002518909345</v>
      </c>
      <c r="E6" s="66">
        <f t="array" ref="E6">(drug_costs * total_treated) / nice_threshold * (E4 / Q3_P)</f>
        <v>0.00002503985515</v>
      </c>
      <c r="F6" s="66">
        <f t="array" ref="F6">(drug_costs * total_treated) / nice_threshold * (F4 / Q4_P)</f>
        <v>0.0000256025064</v>
      </c>
      <c r="G6" s="66">
        <f t="array" ref="G6">(drug_costs * total_treated) / nice_threshold * (G4 / Q5_P)</f>
        <v>0.00002630677335</v>
      </c>
      <c r="H6" s="69"/>
      <c r="I6" s="69"/>
      <c r="J6" s="71"/>
      <c r="K6" s="74"/>
      <c r="L6" s="1"/>
    </row>
    <row r="7" ht="19.5" customHeight="1">
      <c r="A7" s="6"/>
      <c r="B7" s="77" t="s">
        <v>66</v>
      </c>
      <c r="C7" s="83">
        <f t="array" ref="C7">C6*Q1_P</f>
        <v>244.0075291</v>
      </c>
      <c r="D7" s="83">
        <f t="array" ref="D7">D6*Q2_P</f>
        <v>244.0075291</v>
      </c>
      <c r="E7" s="83">
        <f t="array" ref="E7">E6*Q3_P</f>
        <v>244.0075291</v>
      </c>
      <c r="F7" s="83">
        <f t="array" ref="F7">F6*Q4_P</f>
        <v>244.0075291</v>
      </c>
      <c r="G7" s="83">
        <f t="array" ref="G7">G6*Q5_P</f>
        <v>244.0075291</v>
      </c>
      <c r="H7" s="6"/>
      <c r="I7" s="6"/>
      <c r="J7" s="1"/>
      <c r="K7" s="92"/>
      <c r="L7" s="1"/>
    </row>
    <row r="8" ht="18.75" customHeight="1">
      <c r="A8" s="6"/>
      <c r="B8" s="94" t="s">
        <v>78</v>
      </c>
      <c r="C8" s="96">
        <f t="array" ref="C8">(drug_costs * total_treated) / nice_threshold * (C5 / Q1_P)</f>
        <v>0.00003309943342</v>
      </c>
      <c r="D8" s="98">
        <f t="array" ref="D8">(drug_costs * total_treated) / nice_threshold * (D5 / Q2_P)</f>
        <v>0.00002663746632</v>
      </c>
      <c r="E8" s="98">
        <f t="array" ref="E8">(drug_costs * total_treated) / nice_threshold * (E5 / Q3_P)</f>
        <v>0.00002693036422</v>
      </c>
      <c r="F8" s="98">
        <f t="array" ref="F8">(drug_costs * total_treated) / nice_threshold * (F5 / Q4_P)</f>
        <v>0.00002247900062</v>
      </c>
      <c r="G8" s="98">
        <f t="array" ref="G8">(drug_costs * total_treated) / nice_threshold * (G5 / Q5_P)</f>
        <v>0.00002026936886</v>
      </c>
      <c r="H8" s="6"/>
      <c r="I8" s="6"/>
      <c r="J8" s="1"/>
      <c r="K8" s="92"/>
      <c r="L8" s="1"/>
      <c r="M8" s="1"/>
      <c r="N8" s="1"/>
      <c r="O8" s="1"/>
      <c r="P8" s="1"/>
      <c r="Q8" s="1"/>
      <c r="R8" s="1"/>
      <c r="S8" s="1"/>
      <c r="T8" s="1"/>
      <c r="U8" s="1"/>
      <c r="V8" s="1"/>
      <c r="W8" s="1"/>
      <c r="X8" s="1"/>
      <c r="Y8" s="1"/>
      <c r="Z8" s="1"/>
    </row>
    <row r="9" ht="19.5" customHeight="1">
      <c r="A9" s="6"/>
      <c r="B9" s="94" t="s">
        <v>82</v>
      </c>
      <c r="C9" s="109">
        <f t="array" ref="C9">C8*Q1_P</f>
        <v>297.3231742</v>
      </c>
      <c r="D9" s="113">
        <f t="array" ref="D9">D8*Q2_P</f>
        <v>258.037962</v>
      </c>
      <c r="E9" s="113">
        <f t="array" ref="E9">E8*Q3_P</f>
        <v>262.4300976</v>
      </c>
      <c r="F9" s="113">
        <f t="array" ref="F9">F8*Q4_P</f>
        <v>214.2386106</v>
      </c>
      <c r="G9" s="113">
        <f t="array" ref="G9">G8*Q5_P</f>
        <v>188.0078012</v>
      </c>
      <c r="H9" s="6"/>
      <c r="I9" s="6"/>
      <c r="J9" s="1"/>
      <c r="K9" s="92"/>
      <c r="L9" s="1"/>
    </row>
    <row r="10" ht="15.75" customHeight="1">
      <c r="A10" s="6"/>
      <c r="B10" s="117"/>
      <c r="C10" s="118"/>
      <c r="D10" s="118"/>
      <c r="E10" s="118"/>
      <c r="F10" s="118"/>
      <c r="G10" s="118"/>
      <c r="H10" s="6"/>
      <c r="I10" s="6"/>
      <c r="J10" s="1"/>
      <c r="K10" s="92"/>
      <c r="L10" s="1"/>
      <c r="M10" s="1"/>
      <c r="N10" s="1"/>
      <c r="O10" s="1"/>
      <c r="P10" s="1"/>
      <c r="Q10" s="1"/>
      <c r="R10" s="1"/>
      <c r="S10" s="1"/>
      <c r="T10" s="1"/>
      <c r="U10" s="1"/>
      <c r="V10" s="1"/>
      <c r="W10" s="1"/>
      <c r="X10" s="1"/>
      <c r="Y10" s="1"/>
      <c r="Z10" s="1"/>
    </row>
    <row r="11" ht="18.0" customHeight="1">
      <c r="A11" s="6"/>
      <c r="B11" s="121" t="s">
        <v>103</v>
      </c>
      <c r="K11" s="122"/>
      <c r="L11" s="1"/>
    </row>
    <row r="12" ht="18.0" customHeight="1">
      <c r="A12" s="6"/>
      <c r="B12" s="124"/>
      <c r="K12" s="122"/>
      <c r="L12" s="1"/>
    </row>
    <row r="13" ht="12.75" customHeight="1">
      <c r="A13" s="6"/>
      <c r="B13" s="124"/>
      <c r="K13" s="122"/>
      <c r="L13" s="1"/>
    </row>
    <row r="14" ht="12.75" customHeight="1">
      <c r="A14" s="6"/>
      <c r="B14" s="124"/>
      <c r="K14" s="122"/>
      <c r="L14" s="1"/>
    </row>
    <row r="15" ht="12.75" customHeight="1">
      <c r="A15" s="6"/>
      <c r="B15" s="124"/>
      <c r="K15" s="122"/>
      <c r="L15" s="1"/>
    </row>
    <row r="16" ht="12.75" customHeight="1">
      <c r="A16" s="6"/>
      <c r="B16" s="124"/>
      <c r="K16" s="122"/>
      <c r="L16" s="1"/>
    </row>
    <row r="17" ht="12.75" customHeight="1">
      <c r="A17" s="6"/>
      <c r="B17" s="124"/>
      <c r="K17" s="122"/>
      <c r="L17" s="1"/>
    </row>
    <row r="18" ht="12.75" customHeight="1">
      <c r="A18" s="1"/>
      <c r="B18" s="125"/>
      <c r="C18" s="126"/>
      <c r="D18" s="126"/>
      <c r="E18" s="126"/>
      <c r="F18" s="126"/>
      <c r="G18" s="126"/>
      <c r="H18" s="126"/>
      <c r="I18" s="126"/>
      <c r="J18" s="126"/>
      <c r="K18" s="127"/>
      <c r="L18" s="1"/>
    </row>
    <row r="19" ht="12.75" customHeight="1">
      <c r="A19" s="1"/>
      <c r="B19" s="1"/>
      <c r="C19" s="1"/>
      <c r="D19" s="1"/>
      <c r="E19" s="1"/>
      <c r="F19" s="1"/>
      <c r="G19" s="1"/>
      <c r="H19" s="1"/>
      <c r="I19" s="1"/>
      <c r="J19" s="1"/>
      <c r="K19" s="1"/>
      <c r="L19" s="1"/>
    </row>
    <row r="20" ht="12.75" customHeight="1">
      <c r="A20" s="1"/>
      <c r="B20" s="1"/>
      <c r="C20" s="1"/>
      <c r="D20" s="1"/>
      <c r="E20" s="1"/>
      <c r="F20" s="1"/>
      <c r="G20" s="1"/>
      <c r="H20" s="1"/>
      <c r="I20" s="1"/>
      <c r="J20" s="1"/>
      <c r="K20" s="1"/>
      <c r="L20" s="1"/>
    </row>
    <row r="21" ht="12.75" customHeight="1">
      <c r="A21" s="1"/>
      <c r="B21" s="1"/>
      <c r="C21" s="1"/>
      <c r="D21" s="1"/>
      <c r="E21" s="1"/>
      <c r="F21" s="1"/>
      <c r="G21" s="1"/>
      <c r="H21" s="1"/>
      <c r="I21" s="1"/>
      <c r="J21" s="1"/>
      <c r="K21" s="1"/>
      <c r="L21" s="1"/>
    </row>
    <row r="22" ht="12.75" customHeight="1">
      <c r="A22" s="1"/>
      <c r="B22" s="1"/>
      <c r="C22" s="1"/>
      <c r="D22" s="1"/>
      <c r="E22" s="1"/>
      <c r="F22" s="1"/>
      <c r="G22" s="1"/>
      <c r="H22" s="1"/>
      <c r="I22" s="1"/>
      <c r="J22" s="1"/>
      <c r="K22" s="1"/>
      <c r="L22" s="1"/>
    </row>
    <row r="23" ht="12.75" customHeight="1">
      <c r="A23" s="1"/>
      <c r="B23" s="1"/>
      <c r="C23" s="1"/>
      <c r="D23" s="1"/>
      <c r="E23" s="1"/>
      <c r="F23" s="1"/>
      <c r="G23" s="1"/>
      <c r="H23" s="1"/>
      <c r="I23" s="1"/>
      <c r="J23" s="1"/>
      <c r="K23" s="1"/>
      <c r="L23" s="1"/>
    </row>
    <row r="24" ht="12.75" customHeight="1">
      <c r="A24" s="1"/>
      <c r="B24" s="1"/>
      <c r="C24" s="1"/>
      <c r="D24" s="1"/>
      <c r="E24" s="1"/>
      <c r="F24" s="1"/>
      <c r="G24" s="1"/>
      <c r="H24" s="1"/>
      <c r="I24" s="1"/>
      <c r="J24" s="1"/>
      <c r="K24" s="1"/>
      <c r="L24" s="1"/>
    </row>
    <row r="25" ht="12.75" customHeight="1">
      <c r="A25" s="1"/>
      <c r="B25" s="1"/>
      <c r="C25" s="1"/>
      <c r="D25" s="1"/>
      <c r="E25" s="1"/>
      <c r="F25" s="1"/>
      <c r="G25" s="1"/>
      <c r="H25" s="1"/>
      <c r="I25" s="1"/>
      <c r="J25" s="1"/>
      <c r="K25" s="1"/>
      <c r="L25" s="1"/>
    </row>
    <row r="26" ht="12.75" customHeight="1">
      <c r="A26" s="1"/>
      <c r="B26" s="1"/>
      <c r="C26" s="1"/>
      <c r="D26" s="1"/>
      <c r="E26" s="1"/>
      <c r="F26" s="1"/>
      <c r="G26" s="1"/>
      <c r="H26" s="1"/>
      <c r="I26" s="1"/>
      <c r="J26" s="1"/>
      <c r="K26" s="1"/>
      <c r="L26" s="1"/>
    </row>
    <row r="27" ht="12.75" customHeight="1">
      <c r="A27" s="1"/>
      <c r="B27" s="1"/>
      <c r="C27" s="1"/>
      <c r="D27" s="1"/>
      <c r="E27" s="1"/>
      <c r="F27" s="1"/>
      <c r="G27" s="1"/>
      <c r="H27" s="1"/>
      <c r="I27" s="1"/>
      <c r="J27" s="1"/>
      <c r="K27" s="1"/>
      <c r="L27" s="1"/>
    </row>
    <row r="28" ht="12.75" customHeight="1">
      <c r="A28" s="1"/>
      <c r="B28" s="1"/>
      <c r="C28" s="1"/>
      <c r="D28" s="1"/>
      <c r="E28" s="1"/>
      <c r="F28" s="1"/>
      <c r="G28" s="1"/>
      <c r="H28" s="1"/>
      <c r="I28" s="1"/>
      <c r="J28" s="1"/>
      <c r="K28" s="1"/>
      <c r="L28" s="1"/>
    </row>
    <row r="29" ht="12.75" customHeight="1">
      <c r="A29" s="1"/>
      <c r="B29" s="1"/>
      <c r="C29" s="1"/>
      <c r="D29" s="1"/>
      <c r="E29" s="1"/>
      <c r="F29" s="1"/>
      <c r="G29" s="1"/>
      <c r="H29" s="1"/>
      <c r="I29" s="1"/>
      <c r="J29" s="1"/>
      <c r="K29" s="1"/>
      <c r="L29" s="1"/>
    </row>
    <row r="30" ht="12.75" customHeight="1">
      <c r="A30" s="1"/>
      <c r="B30" s="1"/>
      <c r="C30" s="1"/>
      <c r="D30" s="1"/>
      <c r="E30" s="1"/>
      <c r="F30" s="1"/>
      <c r="G30" s="1"/>
      <c r="H30" s="1"/>
      <c r="I30" s="1"/>
      <c r="J30" s="1"/>
      <c r="K30" s="1"/>
      <c r="L30" s="1"/>
    </row>
    <row r="31" ht="12.75" customHeight="1">
      <c r="A31" s="1"/>
      <c r="B31" s="1"/>
      <c r="C31" s="1"/>
      <c r="D31" s="1"/>
      <c r="E31" s="1"/>
      <c r="F31" s="1"/>
      <c r="G31" s="1"/>
      <c r="H31" s="1"/>
      <c r="I31" s="1"/>
      <c r="J31" s="1"/>
      <c r="K31" s="1"/>
      <c r="L31" s="1"/>
    </row>
    <row r="32" ht="12.75" customHeight="1">
      <c r="A32" s="1"/>
      <c r="B32" s="1"/>
      <c r="C32" s="1"/>
      <c r="D32" s="1"/>
      <c r="E32" s="1"/>
      <c r="F32" s="1"/>
      <c r="G32" s="1"/>
      <c r="H32" s="1"/>
      <c r="I32" s="1"/>
      <c r="J32" s="1"/>
      <c r="K32" s="1"/>
      <c r="L32" s="1"/>
    </row>
    <row r="33" ht="12.75" customHeight="1">
      <c r="A33" s="1"/>
      <c r="B33" s="1"/>
      <c r="C33" s="1"/>
      <c r="D33" s="1"/>
      <c r="E33" s="1"/>
      <c r="F33" s="1"/>
      <c r="G33" s="1"/>
      <c r="H33" s="1"/>
      <c r="I33" s="1"/>
      <c r="J33" s="1"/>
      <c r="K33" s="1"/>
      <c r="L33" s="1"/>
    </row>
    <row r="34" ht="12.75" customHeight="1">
      <c r="A34" s="1"/>
      <c r="B34" s="1"/>
      <c r="C34" s="1"/>
      <c r="D34" s="1"/>
      <c r="E34" s="1"/>
      <c r="F34" s="1"/>
      <c r="G34" s="1"/>
      <c r="H34" s="1"/>
      <c r="I34" s="1"/>
      <c r="J34" s="1"/>
      <c r="K34" s="1"/>
      <c r="L34" s="1"/>
    </row>
    <row r="35" ht="12.75" customHeight="1">
      <c r="A35" s="1"/>
      <c r="B35" s="1"/>
      <c r="C35" s="1"/>
      <c r="D35" s="1"/>
      <c r="E35" s="1"/>
      <c r="F35" s="1"/>
      <c r="G35" s="1"/>
      <c r="H35" s="1"/>
      <c r="I35" s="1"/>
      <c r="J35" s="1"/>
      <c r="K35" s="1"/>
      <c r="L35" s="1"/>
    </row>
    <row r="36" ht="12.75" customHeight="1">
      <c r="A36" s="1"/>
      <c r="B36" s="1"/>
      <c r="C36" s="1"/>
      <c r="D36" s="1"/>
      <c r="E36" s="1"/>
      <c r="F36" s="1"/>
      <c r="G36" s="1"/>
      <c r="H36" s="1"/>
      <c r="I36" s="1"/>
      <c r="J36" s="1"/>
      <c r="K36" s="1"/>
      <c r="L36" s="1"/>
    </row>
    <row r="37" ht="12.75" customHeight="1">
      <c r="A37" s="1"/>
      <c r="B37" s="1"/>
      <c r="C37" s="1"/>
      <c r="D37" s="1"/>
      <c r="E37" s="1"/>
      <c r="F37" s="1"/>
      <c r="G37" s="1"/>
      <c r="H37" s="1"/>
      <c r="I37" s="1"/>
      <c r="J37" s="1"/>
      <c r="K37" s="1"/>
      <c r="L37" s="1"/>
    </row>
    <row r="38" ht="12.75" customHeight="1">
      <c r="A38" s="1"/>
      <c r="B38" s="1"/>
      <c r="C38" s="1"/>
      <c r="D38" s="1"/>
      <c r="E38" s="1"/>
      <c r="F38" s="1"/>
      <c r="G38" s="1"/>
      <c r="H38" s="1"/>
      <c r="I38" s="1"/>
      <c r="J38" s="1"/>
      <c r="K38" s="1"/>
      <c r="L38" s="1"/>
    </row>
    <row r="39" ht="12.75" customHeight="1">
      <c r="A39" s="1"/>
      <c r="B39" s="1"/>
      <c r="C39" s="1"/>
      <c r="D39" s="1"/>
      <c r="E39" s="1"/>
      <c r="F39" s="1"/>
      <c r="G39" s="1"/>
      <c r="H39" s="1"/>
      <c r="I39" s="1"/>
      <c r="J39" s="1"/>
      <c r="K39" s="1"/>
      <c r="L39" s="1"/>
    </row>
    <row r="40" ht="12.75" customHeight="1">
      <c r="A40" s="1"/>
      <c r="B40" s="1"/>
      <c r="C40" s="1"/>
      <c r="D40" s="1"/>
      <c r="E40" s="1"/>
      <c r="F40" s="1"/>
      <c r="G40" s="1"/>
      <c r="H40" s="1"/>
      <c r="I40" s="1"/>
      <c r="J40" s="1"/>
      <c r="K40" s="1"/>
      <c r="L40" s="1"/>
    </row>
    <row r="41" ht="12.75" customHeight="1">
      <c r="A41" s="1"/>
      <c r="B41" s="1"/>
      <c r="C41" s="1"/>
      <c r="D41" s="1"/>
      <c r="E41" s="1"/>
      <c r="F41" s="1"/>
      <c r="G41" s="1"/>
      <c r="H41" s="1"/>
      <c r="I41" s="1"/>
      <c r="J41" s="1"/>
      <c r="K41" s="1"/>
      <c r="L41" s="1"/>
    </row>
    <row r="42" ht="12.75" customHeight="1">
      <c r="A42" s="1"/>
      <c r="B42" s="1"/>
      <c r="C42" s="1"/>
      <c r="D42" s="1"/>
      <c r="E42" s="1"/>
      <c r="F42" s="1"/>
      <c r="G42" s="1"/>
      <c r="H42" s="1"/>
      <c r="I42" s="1"/>
      <c r="J42" s="1"/>
      <c r="K42" s="1"/>
      <c r="L42" s="1"/>
    </row>
    <row r="43" ht="12.75" customHeight="1">
      <c r="A43" s="1"/>
      <c r="B43" s="1"/>
      <c r="C43" s="1"/>
      <c r="D43" s="1"/>
      <c r="E43" s="1"/>
      <c r="F43" s="1"/>
      <c r="G43" s="1"/>
      <c r="H43" s="1"/>
      <c r="I43" s="1"/>
      <c r="J43" s="1"/>
      <c r="K43" s="1"/>
      <c r="L43" s="1"/>
    </row>
    <row r="44" ht="12.75" customHeight="1">
      <c r="A44" s="1"/>
      <c r="B44" s="1"/>
      <c r="C44" s="1"/>
      <c r="D44" s="1"/>
      <c r="E44" s="1"/>
      <c r="F44" s="1"/>
      <c r="G44" s="1"/>
      <c r="H44" s="1"/>
      <c r="I44" s="1"/>
      <c r="J44" s="1"/>
      <c r="K44" s="1"/>
      <c r="L44" s="1"/>
    </row>
    <row r="45" ht="12.75" customHeight="1">
      <c r="A45" s="1"/>
      <c r="B45" s="1"/>
      <c r="C45" s="1"/>
      <c r="D45" s="1"/>
      <c r="E45" s="1"/>
      <c r="F45" s="1"/>
      <c r="G45" s="1"/>
      <c r="H45" s="1"/>
      <c r="I45" s="1"/>
      <c r="J45" s="1"/>
      <c r="K45" s="1"/>
      <c r="L45" s="1"/>
    </row>
    <row r="46" ht="12.75" customHeight="1">
      <c r="A46" s="1"/>
      <c r="B46" s="1"/>
      <c r="C46" s="1"/>
      <c r="D46" s="1"/>
      <c r="E46" s="1"/>
      <c r="F46" s="1"/>
      <c r="G46" s="1"/>
      <c r="H46" s="1"/>
      <c r="I46" s="1"/>
      <c r="J46" s="1"/>
      <c r="K46" s="1"/>
      <c r="L46" s="1"/>
    </row>
    <row r="47" ht="12.75" customHeight="1">
      <c r="A47" s="1"/>
      <c r="B47" s="1"/>
      <c r="C47" s="1"/>
      <c r="D47" s="1"/>
      <c r="E47" s="1"/>
      <c r="F47" s="1"/>
      <c r="G47" s="1"/>
      <c r="H47" s="1"/>
      <c r="I47" s="1"/>
      <c r="J47" s="1"/>
      <c r="K47" s="1"/>
      <c r="L47" s="1"/>
    </row>
    <row r="48" ht="12.75" customHeight="1">
      <c r="A48" s="1"/>
      <c r="B48" s="1"/>
      <c r="C48" s="1"/>
      <c r="D48" s="1"/>
      <c r="E48" s="1"/>
      <c r="F48" s="1"/>
      <c r="G48" s="1"/>
      <c r="H48" s="1"/>
      <c r="I48" s="1"/>
      <c r="J48" s="1"/>
      <c r="K48" s="1"/>
      <c r="L48" s="1"/>
    </row>
    <row r="49" ht="12.75" customHeight="1">
      <c r="A49" s="1"/>
      <c r="B49" s="1"/>
      <c r="C49" s="1"/>
      <c r="D49" s="1"/>
      <c r="E49" s="1"/>
      <c r="F49" s="1"/>
      <c r="G49" s="1"/>
      <c r="H49" s="1"/>
      <c r="I49" s="1"/>
      <c r="J49" s="1"/>
      <c r="K49" s="1"/>
      <c r="L49" s="1"/>
    </row>
    <row r="50" ht="12.75" customHeight="1">
      <c r="A50" s="1"/>
      <c r="B50" s="1"/>
      <c r="C50" s="1"/>
      <c r="D50" s="1"/>
      <c r="E50" s="1"/>
      <c r="F50" s="1"/>
      <c r="G50" s="1"/>
      <c r="H50" s="1"/>
      <c r="I50" s="1"/>
      <c r="J50" s="1"/>
      <c r="K50" s="1"/>
      <c r="L50" s="1"/>
    </row>
    <row r="51" ht="12.75" customHeight="1">
      <c r="A51" s="1"/>
      <c r="B51" s="1"/>
      <c r="C51" s="1"/>
      <c r="D51" s="1"/>
      <c r="E51" s="1"/>
      <c r="F51" s="1"/>
      <c r="G51" s="1"/>
      <c r="H51" s="1"/>
      <c r="I51" s="1"/>
      <c r="J51" s="1"/>
      <c r="K51" s="1"/>
      <c r="L51" s="1"/>
    </row>
    <row r="52" ht="12.75" customHeight="1">
      <c r="A52" s="1"/>
      <c r="B52" s="1"/>
      <c r="C52" s="1"/>
      <c r="D52" s="1"/>
      <c r="E52" s="1"/>
      <c r="F52" s="1"/>
      <c r="G52" s="1"/>
      <c r="H52" s="1"/>
      <c r="I52" s="1"/>
      <c r="J52" s="1"/>
      <c r="K52" s="1"/>
      <c r="L52" s="1"/>
    </row>
    <row r="53" ht="12.75" customHeight="1">
      <c r="A53" s="1"/>
      <c r="B53" s="1"/>
      <c r="C53" s="1"/>
      <c r="D53" s="1"/>
      <c r="E53" s="1"/>
      <c r="F53" s="1"/>
      <c r="G53" s="1"/>
      <c r="H53" s="1"/>
      <c r="I53" s="1"/>
      <c r="J53" s="1"/>
      <c r="K53" s="1"/>
      <c r="L53" s="1"/>
    </row>
    <row r="54" ht="12.75" customHeight="1">
      <c r="A54" s="1"/>
      <c r="B54" s="1"/>
      <c r="C54" s="1"/>
      <c r="D54" s="1"/>
      <c r="E54" s="1"/>
      <c r="F54" s="1"/>
      <c r="G54" s="1"/>
      <c r="H54" s="1"/>
      <c r="I54" s="1"/>
      <c r="J54" s="1"/>
      <c r="K54" s="1"/>
      <c r="L54" s="1"/>
    </row>
    <row r="55" ht="12.75" customHeight="1">
      <c r="A55" s="1"/>
      <c r="B55" s="1"/>
      <c r="C55" s="1"/>
      <c r="D55" s="1"/>
      <c r="E55" s="1"/>
      <c r="F55" s="1"/>
      <c r="G55" s="1"/>
      <c r="H55" s="1"/>
      <c r="I55" s="1"/>
      <c r="J55" s="1"/>
      <c r="K55" s="1"/>
      <c r="L55" s="1"/>
    </row>
    <row r="56" ht="12.75" customHeight="1">
      <c r="A56" s="1"/>
      <c r="B56" s="1"/>
      <c r="C56" s="1"/>
      <c r="D56" s="1"/>
      <c r="E56" s="1"/>
      <c r="F56" s="1"/>
      <c r="G56" s="1"/>
      <c r="H56" s="1"/>
      <c r="I56" s="1"/>
      <c r="J56" s="1"/>
      <c r="K56" s="1"/>
      <c r="L56" s="1"/>
    </row>
    <row r="57" ht="12.75" customHeight="1">
      <c r="A57" s="1"/>
      <c r="B57" s="1"/>
      <c r="C57" s="1"/>
      <c r="D57" s="1"/>
      <c r="E57" s="1"/>
      <c r="F57" s="1"/>
      <c r="G57" s="1"/>
      <c r="H57" s="1"/>
      <c r="I57" s="1"/>
      <c r="J57" s="1"/>
      <c r="K57" s="1"/>
      <c r="L57" s="1"/>
    </row>
    <row r="58" ht="12.75" customHeight="1">
      <c r="A58" s="1"/>
      <c r="B58" s="1"/>
      <c r="C58" s="1"/>
      <c r="D58" s="1"/>
      <c r="E58" s="1"/>
      <c r="F58" s="1"/>
      <c r="G58" s="1"/>
      <c r="H58" s="1"/>
      <c r="I58" s="1"/>
      <c r="J58" s="1"/>
      <c r="K58" s="1"/>
      <c r="L58" s="1"/>
    </row>
    <row r="59" ht="12.75" customHeight="1">
      <c r="A59" s="1"/>
      <c r="B59" s="1"/>
      <c r="C59" s="1"/>
      <c r="D59" s="1"/>
      <c r="E59" s="1"/>
      <c r="F59" s="1"/>
      <c r="G59" s="1"/>
      <c r="H59" s="1"/>
      <c r="I59" s="1"/>
      <c r="J59" s="1"/>
      <c r="K59" s="1"/>
      <c r="L59" s="1"/>
    </row>
    <row r="60" ht="12.75" customHeight="1">
      <c r="A60" s="1"/>
      <c r="B60" s="1"/>
      <c r="C60" s="1"/>
      <c r="D60" s="1"/>
      <c r="E60" s="1"/>
      <c r="F60" s="1"/>
      <c r="G60" s="1"/>
      <c r="H60" s="1"/>
      <c r="I60" s="1"/>
      <c r="J60" s="1"/>
      <c r="K60" s="1"/>
      <c r="L60" s="1"/>
    </row>
    <row r="61" ht="12.75" customHeight="1">
      <c r="A61" s="1"/>
      <c r="B61" s="1"/>
      <c r="C61" s="1"/>
      <c r="D61" s="1"/>
      <c r="E61" s="1"/>
      <c r="F61" s="1"/>
      <c r="G61" s="1"/>
      <c r="H61" s="1"/>
      <c r="I61" s="1"/>
      <c r="J61" s="1"/>
      <c r="K61" s="1"/>
      <c r="L61" s="1"/>
    </row>
    <row r="62" ht="12.75" customHeight="1">
      <c r="A62" s="1"/>
      <c r="B62" s="1"/>
      <c r="C62" s="1"/>
      <c r="D62" s="1"/>
      <c r="E62" s="1"/>
      <c r="F62" s="1"/>
      <c r="G62" s="1"/>
      <c r="H62" s="1"/>
      <c r="I62" s="1"/>
      <c r="J62" s="1"/>
      <c r="K62" s="1"/>
      <c r="L62" s="1"/>
    </row>
    <row r="63" ht="12.75" customHeight="1">
      <c r="A63" s="1"/>
      <c r="B63" s="1"/>
      <c r="C63" s="1"/>
      <c r="D63" s="1"/>
      <c r="E63" s="1"/>
      <c r="F63" s="1"/>
      <c r="G63" s="1"/>
      <c r="H63" s="1"/>
      <c r="I63" s="1"/>
      <c r="J63" s="1"/>
      <c r="K63" s="1"/>
      <c r="L63" s="1"/>
    </row>
    <row r="64" ht="12.75" customHeight="1">
      <c r="A64" s="1"/>
      <c r="B64" s="1"/>
      <c r="C64" s="1"/>
      <c r="D64" s="1"/>
      <c r="E64" s="1"/>
      <c r="F64" s="1"/>
      <c r="G64" s="1"/>
      <c r="H64" s="1"/>
      <c r="I64" s="1"/>
      <c r="J64" s="1"/>
      <c r="K64" s="1"/>
      <c r="L64" s="1"/>
    </row>
    <row r="65" ht="12.75" customHeight="1">
      <c r="A65" s="1"/>
      <c r="B65" s="1"/>
      <c r="C65" s="1"/>
      <c r="D65" s="1"/>
      <c r="E65" s="1"/>
      <c r="F65" s="1"/>
      <c r="G65" s="1"/>
      <c r="H65" s="1"/>
      <c r="I65" s="1"/>
      <c r="J65" s="1"/>
      <c r="K65" s="1"/>
      <c r="L65" s="1"/>
    </row>
    <row r="66" ht="12.75" customHeight="1">
      <c r="A66" s="1"/>
      <c r="B66" s="1"/>
      <c r="C66" s="1"/>
      <c r="D66" s="1"/>
      <c r="E66" s="1"/>
      <c r="F66" s="1"/>
      <c r="G66" s="1"/>
      <c r="H66" s="1"/>
      <c r="I66" s="1"/>
      <c r="J66" s="1"/>
      <c r="K66" s="1"/>
      <c r="L66" s="1"/>
    </row>
    <row r="67" ht="12.75" customHeight="1">
      <c r="A67" s="1"/>
      <c r="B67" s="1"/>
      <c r="C67" s="1"/>
      <c r="D67" s="1"/>
      <c r="E67" s="1"/>
      <c r="F67" s="1"/>
      <c r="G67" s="1"/>
      <c r="H67" s="1"/>
      <c r="I67" s="1"/>
      <c r="J67" s="1"/>
      <c r="K67" s="1"/>
      <c r="L67" s="1"/>
    </row>
    <row r="68" ht="12.75" customHeight="1">
      <c r="A68" s="1"/>
      <c r="B68" s="1"/>
      <c r="C68" s="1"/>
      <c r="D68" s="1"/>
      <c r="E68" s="1"/>
      <c r="F68" s="1"/>
      <c r="G68" s="1"/>
      <c r="H68" s="1"/>
      <c r="I68" s="1"/>
      <c r="J68" s="1"/>
      <c r="K68" s="1"/>
      <c r="L68" s="1"/>
    </row>
    <row r="69" ht="12.75" customHeight="1">
      <c r="A69" s="1"/>
      <c r="B69" s="1"/>
      <c r="C69" s="1"/>
      <c r="D69" s="1"/>
      <c r="E69" s="1"/>
      <c r="F69" s="1"/>
      <c r="G69" s="1"/>
      <c r="H69" s="1"/>
      <c r="I69" s="1"/>
      <c r="J69" s="1"/>
      <c r="K69" s="1"/>
      <c r="L69" s="1"/>
    </row>
    <row r="70" ht="12.75" customHeight="1">
      <c r="A70" s="1"/>
      <c r="B70" s="1"/>
      <c r="C70" s="1"/>
      <c r="D70" s="1"/>
      <c r="E70" s="1"/>
      <c r="F70" s="1"/>
      <c r="G70" s="1"/>
      <c r="H70" s="1"/>
      <c r="I70" s="1"/>
      <c r="J70" s="1"/>
      <c r="K70" s="1"/>
      <c r="L70" s="1"/>
    </row>
    <row r="71" ht="12.75" customHeight="1">
      <c r="A71" s="1"/>
      <c r="B71" s="1"/>
      <c r="C71" s="1"/>
      <c r="D71" s="1"/>
      <c r="E71" s="1"/>
      <c r="F71" s="1"/>
      <c r="G71" s="1"/>
      <c r="H71" s="1"/>
      <c r="I71" s="1"/>
      <c r="J71" s="1"/>
      <c r="K71" s="1"/>
      <c r="L71" s="1"/>
    </row>
    <row r="72" ht="12.75" customHeight="1">
      <c r="A72" s="1"/>
      <c r="B72" s="1"/>
      <c r="C72" s="1"/>
      <c r="D72" s="1"/>
      <c r="E72" s="1"/>
      <c r="F72" s="1"/>
      <c r="G72" s="1"/>
      <c r="H72" s="1"/>
      <c r="I72" s="1"/>
      <c r="J72" s="1"/>
      <c r="K72" s="1"/>
      <c r="L72" s="1"/>
    </row>
    <row r="73" ht="12.75" customHeight="1">
      <c r="A73" s="1"/>
      <c r="B73" s="1"/>
      <c r="C73" s="1"/>
      <c r="D73" s="1"/>
      <c r="E73" s="1"/>
      <c r="F73" s="1"/>
      <c r="G73" s="1"/>
      <c r="H73" s="1"/>
      <c r="I73" s="1"/>
      <c r="J73" s="1"/>
      <c r="K73" s="1"/>
      <c r="L73" s="1"/>
    </row>
    <row r="74" ht="12.75" customHeight="1">
      <c r="A74" s="1"/>
      <c r="B74" s="1"/>
      <c r="C74" s="1"/>
      <c r="D74" s="1"/>
      <c r="E74" s="1"/>
      <c r="F74" s="1"/>
      <c r="G74" s="1"/>
      <c r="H74" s="1"/>
      <c r="I74" s="1"/>
      <c r="J74" s="1"/>
      <c r="K74" s="1"/>
      <c r="L74" s="1"/>
    </row>
    <row r="75" ht="12.75" customHeight="1">
      <c r="A75" s="1"/>
      <c r="B75" s="1"/>
      <c r="C75" s="1"/>
      <c r="D75" s="1"/>
      <c r="E75" s="1"/>
      <c r="F75" s="1"/>
      <c r="G75" s="1"/>
      <c r="H75" s="1"/>
      <c r="I75" s="1"/>
      <c r="J75" s="1"/>
      <c r="K75" s="1"/>
      <c r="L75" s="1"/>
    </row>
    <row r="76" ht="12.75" customHeight="1">
      <c r="A76" s="1"/>
      <c r="B76" s="1"/>
      <c r="C76" s="1"/>
      <c r="D76" s="1"/>
      <c r="E76" s="1"/>
      <c r="F76" s="1"/>
      <c r="G76" s="1"/>
      <c r="H76" s="1"/>
      <c r="I76" s="1"/>
      <c r="J76" s="1"/>
      <c r="K76" s="1"/>
      <c r="L76" s="1"/>
    </row>
    <row r="77" ht="12.75" customHeight="1">
      <c r="A77" s="1"/>
      <c r="B77" s="1"/>
      <c r="C77" s="1"/>
      <c r="D77" s="1"/>
      <c r="E77" s="1"/>
      <c r="F77" s="1"/>
      <c r="G77" s="1"/>
      <c r="H77" s="1"/>
      <c r="I77" s="1"/>
      <c r="J77" s="1"/>
      <c r="K77" s="1"/>
      <c r="L77" s="1"/>
    </row>
    <row r="78" ht="12.75" customHeight="1">
      <c r="A78" s="1"/>
      <c r="B78" s="1"/>
      <c r="C78" s="1"/>
      <c r="D78" s="1"/>
      <c r="E78" s="1"/>
      <c r="F78" s="1"/>
      <c r="G78" s="1"/>
      <c r="H78" s="1"/>
      <c r="I78" s="1"/>
      <c r="J78" s="1"/>
      <c r="K78" s="1"/>
      <c r="L78" s="1"/>
    </row>
    <row r="79" ht="12.75" customHeight="1">
      <c r="A79" s="1"/>
      <c r="B79" s="1"/>
      <c r="C79" s="1"/>
      <c r="D79" s="1"/>
      <c r="E79" s="1"/>
      <c r="F79" s="1"/>
      <c r="G79" s="1"/>
      <c r="H79" s="1"/>
      <c r="I79" s="1"/>
      <c r="J79" s="1"/>
      <c r="K79" s="1"/>
      <c r="L79" s="1"/>
    </row>
    <row r="80" ht="12.75" customHeight="1">
      <c r="A80" s="1"/>
      <c r="B80" s="1"/>
      <c r="C80" s="1"/>
      <c r="D80" s="1"/>
      <c r="E80" s="1"/>
      <c r="F80" s="1"/>
      <c r="G80" s="1"/>
      <c r="H80" s="1"/>
      <c r="I80" s="1"/>
      <c r="J80" s="1"/>
      <c r="K80" s="1"/>
      <c r="L80" s="1"/>
    </row>
    <row r="81" ht="12.75" customHeight="1">
      <c r="A81" s="1"/>
      <c r="B81" s="1"/>
      <c r="C81" s="1"/>
      <c r="D81" s="1"/>
      <c r="E81" s="1"/>
      <c r="F81" s="1"/>
      <c r="G81" s="1"/>
      <c r="H81" s="1"/>
      <c r="I81" s="1"/>
      <c r="J81" s="1"/>
      <c r="K81" s="1"/>
      <c r="L81" s="1"/>
    </row>
    <row r="82" ht="12.75" customHeight="1">
      <c r="A82" s="1"/>
      <c r="B82" s="1"/>
      <c r="C82" s="1"/>
      <c r="D82" s="1"/>
      <c r="E82" s="1"/>
      <c r="F82" s="1"/>
      <c r="G82" s="1"/>
      <c r="H82" s="1"/>
      <c r="I82" s="1"/>
      <c r="J82" s="1"/>
      <c r="K82" s="1"/>
      <c r="L82" s="1"/>
    </row>
    <row r="83" ht="12.75" customHeight="1">
      <c r="A83" s="1"/>
      <c r="B83" s="1"/>
      <c r="C83" s="1"/>
      <c r="D83" s="1"/>
      <c r="E83" s="1"/>
      <c r="F83" s="1"/>
      <c r="G83" s="1"/>
      <c r="H83" s="1"/>
      <c r="I83" s="1"/>
      <c r="J83" s="1"/>
      <c r="K83" s="1"/>
      <c r="L83" s="1"/>
    </row>
    <row r="84" ht="12.75" customHeight="1">
      <c r="A84" s="1"/>
      <c r="B84" s="1"/>
      <c r="C84" s="1"/>
      <c r="D84" s="1"/>
      <c r="E84" s="1"/>
      <c r="F84" s="1"/>
      <c r="G84" s="1"/>
      <c r="H84" s="1"/>
      <c r="I84" s="1"/>
      <c r="J84" s="1"/>
      <c r="K84" s="1"/>
      <c r="L84" s="1"/>
    </row>
    <row r="85" ht="12.75" customHeight="1">
      <c r="A85" s="1"/>
      <c r="B85" s="1"/>
      <c r="C85" s="1"/>
      <c r="D85" s="1"/>
      <c r="E85" s="1"/>
      <c r="F85" s="1"/>
      <c r="G85" s="1"/>
      <c r="H85" s="1"/>
      <c r="I85" s="1"/>
      <c r="J85" s="1"/>
      <c r="K85" s="1"/>
      <c r="L85" s="1"/>
    </row>
    <row r="86" ht="12.75" customHeight="1">
      <c r="A86" s="1"/>
      <c r="B86" s="1"/>
      <c r="C86" s="1"/>
      <c r="D86" s="1"/>
      <c r="E86" s="1"/>
      <c r="F86" s="1"/>
      <c r="G86" s="1"/>
      <c r="H86" s="1"/>
      <c r="I86" s="1"/>
      <c r="J86" s="1"/>
      <c r="K86" s="1"/>
      <c r="L86" s="1"/>
    </row>
    <row r="87" ht="12.75" customHeight="1">
      <c r="A87" s="1"/>
      <c r="B87" s="1"/>
      <c r="C87" s="1"/>
      <c r="D87" s="1"/>
      <c r="E87" s="1"/>
      <c r="F87" s="1"/>
      <c r="G87" s="1"/>
      <c r="H87" s="1"/>
      <c r="I87" s="1"/>
      <c r="J87" s="1"/>
      <c r="K87" s="1"/>
      <c r="L87" s="1"/>
    </row>
    <row r="88" ht="12.75" customHeight="1">
      <c r="A88" s="1"/>
      <c r="B88" s="1"/>
      <c r="C88" s="1"/>
      <c r="D88" s="1"/>
      <c r="E88" s="1"/>
      <c r="F88" s="1"/>
      <c r="G88" s="1"/>
      <c r="H88" s="1"/>
      <c r="I88" s="1"/>
      <c r="J88" s="1"/>
      <c r="K88" s="1"/>
      <c r="L88" s="1"/>
    </row>
    <row r="89" ht="12.75" customHeight="1">
      <c r="A89" s="1"/>
      <c r="B89" s="1"/>
      <c r="C89" s="1"/>
      <c r="D89" s="1"/>
      <c r="E89" s="1"/>
      <c r="F89" s="1"/>
      <c r="G89" s="1"/>
      <c r="H89" s="1"/>
      <c r="I89" s="1"/>
      <c r="J89" s="1"/>
      <c r="K89" s="1"/>
      <c r="L89" s="1"/>
    </row>
    <row r="90" ht="12.75" customHeight="1">
      <c r="A90" s="1"/>
      <c r="B90" s="1"/>
      <c r="C90" s="1"/>
      <c r="D90" s="1"/>
      <c r="E90" s="1"/>
      <c r="F90" s="1"/>
      <c r="G90" s="1"/>
      <c r="H90" s="1"/>
      <c r="I90" s="1"/>
      <c r="J90" s="1"/>
      <c r="K90" s="1"/>
      <c r="L90" s="1"/>
    </row>
    <row r="91" ht="12.75" customHeight="1">
      <c r="A91" s="1"/>
      <c r="B91" s="1"/>
      <c r="C91" s="1"/>
      <c r="D91" s="1"/>
      <c r="E91" s="1"/>
      <c r="F91" s="1"/>
      <c r="G91" s="1"/>
      <c r="H91" s="1"/>
      <c r="I91" s="1"/>
      <c r="J91" s="1"/>
      <c r="K91" s="1"/>
      <c r="L91" s="1"/>
    </row>
    <row r="92" ht="12.75" customHeight="1">
      <c r="A92" s="1"/>
      <c r="B92" s="1"/>
      <c r="C92" s="1"/>
      <c r="D92" s="1"/>
      <c r="E92" s="1"/>
      <c r="F92" s="1"/>
      <c r="G92" s="1"/>
      <c r="H92" s="1"/>
      <c r="I92" s="1"/>
      <c r="J92" s="1"/>
      <c r="K92" s="1"/>
      <c r="L92" s="1"/>
    </row>
    <row r="93" ht="12.75" customHeight="1">
      <c r="A93" s="1"/>
      <c r="B93" s="1"/>
      <c r="C93" s="1"/>
      <c r="D93" s="1"/>
      <c r="E93" s="1"/>
      <c r="F93" s="1"/>
      <c r="G93" s="1"/>
      <c r="H93" s="1"/>
      <c r="I93" s="1"/>
      <c r="J93" s="1"/>
      <c r="K93" s="1"/>
      <c r="L93" s="1"/>
    </row>
    <row r="94" ht="12.75" customHeight="1">
      <c r="A94" s="1"/>
      <c r="B94" s="1"/>
      <c r="C94" s="1"/>
      <c r="D94" s="1"/>
      <c r="E94" s="1"/>
      <c r="F94" s="1"/>
      <c r="G94" s="1"/>
      <c r="H94" s="1"/>
      <c r="I94" s="1"/>
      <c r="J94" s="1"/>
      <c r="K94" s="1"/>
      <c r="L94" s="1"/>
    </row>
    <row r="95" ht="12.75" customHeight="1">
      <c r="A95" s="1"/>
      <c r="B95" s="1"/>
      <c r="C95" s="1"/>
      <c r="D95" s="1"/>
      <c r="E95" s="1"/>
      <c r="F95" s="1"/>
      <c r="G95" s="1"/>
      <c r="H95" s="1"/>
      <c r="I95" s="1"/>
      <c r="J95" s="1"/>
      <c r="K95" s="1"/>
      <c r="L95" s="1"/>
    </row>
    <row r="96" ht="12.75" customHeight="1">
      <c r="A96" s="1"/>
      <c r="B96" s="1"/>
      <c r="C96" s="1"/>
      <c r="D96" s="1"/>
      <c r="E96" s="1"/>
      <c r="F96" s="1"/>
      <c r="G96" s="1"/>
      <c r="H96" s="1"/>
      <c r="I96" s="1"/>
      <c r="J96" s="1"/>
      <c r="K96" s="1"/>
      <c r="L96" s="1"/>
    </row>
    <row r="97" ht="12.75" customHeight="1">
      <c r="A97" s="1"/>
      <c r="B97" s="1"/>
      <c r="C97" s="1"/>
      <c r="D97" s="1"/>
      <c r="E97" s="1"/>
      <c r="F97" s="1"/>
      <c r="G97" s="1"/>
      <c r="H97" s="1"/>
      <c r="I97" s="1"/>
      <c r="J97" s="1"/>
      <c r="K97" s="1"/>
      <c r="L97" s="1"/>
    </row>
    <row r="98" ht="12.75" customHeight="1">
      <c r="A98" s="1"/>
      <c r="B98" s="1"/>
      <c r="C98" s="1"/>
      <c r="D98" s="1"/>
      <c r="E98" s="1"/>
      <c r="F98" s="1"/>
      <c r="G98" s="1"/>
      <c r="H98" s="1"/>
      <c r="I98" s="1"/>
      <c r="J98" s="1"/>
      <c r="K98" s="1"/>
      <c r="L98" s="1"/>
    </row>
    <row r="99" ht="12.75" customHeight="1">
      <c r="A99" s="1"/>
      <c r="B99" s="1"/>
      <c r="C99" s="1"/>
      <c r="D99" s="1"/>
      <c r="E99" s="1"/>
      <c r="F99" s="1"/>
      <c r="G99" s="1"/>
      <c r="H99" s="1"/>
      <c r="I99" s="1"/>
      <c r="J99" s="1"/>
      <c r="K99" s="1"/>
      <c r="L99" s="1"/>
    </row>
    <row r="100" ht="12.75" customHeight="1">
      <c r="A100" s="1"/>
      <c r="B100" s="1"/>
      <c r="C100" s="1"/>
      <c r="D100" s="1"/>
      <c r="E100" s="1"/>
      <c r="F100" s="1"/>
      <c r="G100" s="1"/>
      <c r="H100" s="1"/>
      <c r="I100" s="1"/>
      <c r="J100" s="1"/>
      <c r="K100" s="1"/>
      <c r="L100" s="1"/>
    </row>
    <row r="101" ht="12.75" customHeight="1">
      <c r="A101" s="1"/>
      <c r="B101" s="1"/>
      <c r="C101" s="1"/>
      <c r="D101" s="1"/>
      <c r="E101" s="1"/>
      <c r="F101" s="1"/>
      <c r="G101" s="1"/>
      <c r="H101" s="1"/>
      <c r="I101" s="1"/>
      <c r="J101" s="1"/>
      <c r="K101" s="1"/>
      <c r="L101" s="1"/>
    </row>
    <row r="102" ht="12.75" customHeight="1">
      <c r="A102" s="1"/>
      <c r="B102" s="1"/>
      <c r="C102" s="1"/>
      <c r="D102" s="1"/>
      <c r="E102" s="1"/>
      <c r="F102" s="1"/>
      <c r="G102" s="1"/>
      <c r="H102" s="1"/>
      <c r="I102" s="1"/>
      <c r="J102" s="1"/>
      <c r="K102" s="1"/>
      <c r="L102" s="1"/>
    </row>
    <row r="103" ht="12.75" customHeight="1">
      <c r="A103" s="1"/>
      <c r="B103" s="1"/>
      <c r="C103" s="1"/>
      <c r="D103" s="1"/>
      <c r="E103" s="1"/>
      <c r="F103" s="1"/>
      <c r="G103" s="1"/>
      <c r="H103" s="1"/>
      <c r="I103" s="1"/>
      <c r="J103" s="1"/>
      <c r="K103" s="1"/>
      <c r="L103" s="1"/>
    </row>
    <row r="104" ht="12.75" customHeight="1">
      <c r="A104" s="1"/>
      <c r="B104" s="1"/>
      <c r="C104" s="1"/>
      <c r="D104" s="1"/>
      <c r="E104" s="1"/>
      <c r="F104" s="1"/>
      <c r="G104" s="1"/>
      <c r="H104" s="1"/>
      <c r="I104" s="1"/>
      <c r="J104" s="1"/>
      <c r="K104" s="1"/>
      <c r="L104" s="1"/>
    </row>
    <row r="105" ht="12.75" customHeight="1">
      <c r="A105" s="1"/>
      <c r="B105" s="1"/>
      <c r="C105" s="1"/>
      <c r="D105" s="1"/>
      <c r="E105" s="1"/>
      <c r="F105" s="1"/>
      <c r="G105" s="1"/>
      <c r="H105" s="1"/>
      <c r="I105" s="1"/>
      <c r="J105" s="1"/>
      <c r="K105" s="1"/>
      <c r="L105" s="1"/>
    </row>
    <row r="106" ht="12.75" customHeight="1">
      <c r="A106" s="1"/>
      <c r="B106" s="1"/>
      <c r="C106" s="1"/>
      <c r="D106" s="1"/>
      <c r="E106" s="1"/>
      <c r="F106" s="1"/>
      <c r="G106" s="1"/>
      <c r="H106" s="1"/>
      <c r="I106" s="1"/>
      <c r="J106" s="1"/>
      <c r="K106" s="1"/>
      <c r="L106" s="1"/>
    </row>
    <row r="107" ht="12.75" customHeight="1">
      <c r="A107" s="1"/>
      <c r="B107" s="1"/>
      <c r="C107" s="1"/>
      <c r="D107" s="1"/>
      <c r="E107" s="1"/>
      <c r="F107" s="1"/>
      <c r="G107" s="1"/>
      <c r="H107" s="1"/>
      <c r="I107" s="1"/>
      <c r="J107" s="1"/>
      <c r="K107" s="1"/>
      <c r="L107" s="1"/>
    </row>
    <row r="108" ht="12.75" customHeight="1">
      <c r="A108" s="1"/>
      <c r="B108" s="1"/>
      <c r="C108" s="1"/>
      <c r="D108" s="1"/>
      <c r="E108" s="1"/>
      <c r="F108" s="1"/>
      <c r="G108" s="1"/>
      <c r="H108" s="1"/>
      <c r="I108" s="1"/>
      <c r="J108" s="1"/>
      <c r="K108" s="1"/>
      <c r="L108" s="1"/>
    </row>
    <row r="109" ht="12.75" customHeight="1">
      <c r="A109" s="1"/>
      <c r="B109" s="1"/>
      <c r="C109" s="1"/>
      <c r="D109" s="1"/>
      <c r="E109" s="1"/>
      <c r="F109" s="1"/>
      <c r="G109" s="1"/>
      <c r="H109" s="1"/>
      <c r="I109" s="1"/>
      <c r="J109" s="1"/>
      <c r="K109" s="1"/>
      <c r="L109" s="1"/>
    </row>
    <row r="110" ht="12.75" customHeight="1">
      <c r="A110" s="1"/>
      <c r="B110" s="1"/>
      <c r="C110" s="1"/>
      <c r="D110" s="1"/>
      <c r="E110" s="1"/>
      <c r="F110" s="1"/>
      <c r="G110" s="1"/>
      <c r="H110" s="1"/>
      <c r="I110" s="1"/>
      <c r="J110" s="1"/>
      <c r="K110" s="1"/>
      <c r="L110" s="1"/>
    </row>
    <row r="111" ht="12.75" customHeight="1">
      <c r="A111" s="1"/>
      <c r="B111" s="1"/>
      <c r="C111" s="1"/>
      <c r="D111" s="1"/>
      <c r="E111" s="1"/>
      <c r="F111" s="1"/>
      <c r="G111" s="1"/>
      <c r="H111" s="1"/>
      <c r="I111" s="1"/>
      <c r="J111" s="1"/>
      <c r="K111" s="1"/>
      <c r="L111" s="1"/>
    </row>
    <row r="112" ht="12.75" customHeight="1">
      <c r="A112" s="1"/>
      <c r="B112" s="1"/>
      <c r="C112" s="1"/>
      <c r="D112" s="1"/>
      <c r="E112" s="1"/>
      <c r="F112" s="1"/>
      <c r="G112" s="1"/>
      <c r="H112" s="1"/>
      <c r="I112" s="1"/>
      <c r="J112" s="1"/>
      <c r="K112" s="1"/>
      <c r="L112" s="1"/>
    </row>
    <row r="113" ht="12.75" customHeight="1">
      <c r="A113" s="1"/>
      <c r="B113" s="1"/>
      <c r="C113" s="1"/>
      <c r="D113" s="1"/>
      <c r="E113" s="1"/>
      <c r="F113" s="1"/>
      <c r="G113" s="1"/>
      <c r="H113" s="1"/>
      <c r="I113" s="1"/>
      <c r="J113" s="1"/>
      <c r="K113" s="1"/>
      <c r="L113" s="1"/>
    </row>
    <row r="114" ht="12.75" customHeight="1">
      <c r="A114" s="1"/>
      <c r="B114" s="1"/>
      <c r="C114" s="1"/>
      <c r="D114" s="1"/>
      <c r="E114" s="1"/>
      <c r="F114" s="1"/>
      <c r="G114" s="1"/>
      <c r="H114" s="1"/>
      <c r="I114" s="1"/>
      <c r="J114" s="1"/>
      <c r="K114" s="1"/>
      <c r="L114" s="1"/>
    </row>
    <row r="115" ht="12.75" customHeight="1">
      <c r="A115" s="1"/>
      <c r="B115" s="1"/>
      <c r="C115" s="1"/>
      <c r="D115" s="1"/>
      <c r="E115" s="1"/>
      <c r="F115" s="1"/>
      <c r="G115" s="1"/>
      <c r="H115" s="1"/>
      <c r="I115" s="1"/>
      <c r="J115" s="1"/>
      <c r="K115" s="1"/>
      <c r="L115" s="1"/>
    </row>
    <row r="116" ht="12.75" customHeight="1">
      <c r="A116" s="1"/>
      <c r="B116" s="1"/>
      <c r="C116" s="1"/>
      <c r="D116" s="1"/>
      <c r="E116" s="1"/>
      <c r="F116" s="1"/>
      <c r="G116" s="1"/>
      <c r="H116" s="1"/>
      <c r="I116" s="1"/>
      <c r="J116" s="1"/>
      <c r="K116" s="1"/>
      <c r="L116" s="1"/>
    </row>
    <row r="117" ht="12.75" customHeight="1">
      <c r="A117" s="1"/>
      <c r="B117" s="1"/>
      <c r="C117" s="1"/>
      <c r="D117" s="1"/>
      <c r="E117" s="1"/>
      <c r="F117" s="1"/>
      <c r="G117" s="1"/>
      <c r="H117" s="1"/>
      <c r="I117" s="1"/>
      <c r="J117" s="1"/>
      <c r="K117" s="1"/>
      <c r="L117" s="1"/>
    </row>
    <row r="118" ht="12.75" customHeight="1">
      <c r="A118" s="1"/>
      <c r="B118" s="1"/>
      <c r="C118" s="1"/>
      <c r="D118" s="1"/>
      <c r="E118" s="1"/>
      <c r="F118" s="1"/>
      <c r="G118" s="1"/>
      <c r="H118" s="1"/>
      <c r="I118" s="1"/>
      <c r="J118" s="1"/>
      <c r="K118" s="1"/>
      <c r="L118" s="1"/>
    </row>
    <row r="119" ht="12.75" customHeight="1">
      <c r="A119" s="1"/>
      <c r="B119" s="1"/>
      <c r="C119" s="1"/>
      <c r="D119" s="1"/>
      <c r="E119" s="1"/>
      <c r="F119" s="1"/>
      <c r="G119" s="1"/>
      <c r="H119" s="1"/>
      <c r="I119" s="1"/>
      <c r="J119" s="1"/>
      <c r="K119" s="1"/>
      <c r="L119" s="1"/>
    </row>
    <row r="120" ht="12.75" customHeight="1">
      <c r="A120" s="1"/>
      <c r="B120" s="1"/>
      <c r="C120" s="1"/>
      <c r="D120" s="1"/>
      <c r="E120" s="1"/>
      <c r="F120" s="1"/>
      <c r="G120" s="1"/>
      <c r="H120" s="1"/>
      <c r="I120" s="1"/>
      <c r="J120" s="1"/>
      <c r="K120" s="1"/>
      <c r="L120" s="1"/>
    </row>
    <row r="121" ht="12.75" customHeight="1">
      <c r="A121" s="1"/>
      <c r="B121" s="1"/>
      <c r="C121" s="1"/>
      <c r="D121" s="1"/>
      <c r="E121" s="1"/>
      <c r="F121" s="1"/>
      <c r="G121" s="1"/>
      <c r="H121" s="1"/>
      <c r="I121" s="1"/>
      <c r="J121" s="1"/>
      <c r="K121" s="1"/>
      <c r="L121" s="1"/>
    </row>
    <row r="122" ht="12.75" customHeight="1">
      <c r="A122" s="1"/>
      <c r="B122" s="1"/>
      <c r="C122" s="1"/>
      <c r="D122" s="1"/>
      <c r="E122" s="1"/>
      <c r="F122" s="1"/>
      <c r="G122" s="1"/>
      <c r="H122" s="1"/>
      <c r="I122" s="1"/>
      <c r="J122" s="1"/>
      <c r="K122" s="1"/>
      <c r="L122" s="1"/>
    </row>
    <row r="123" ht="12.75" customHeight="1">
      <c r="A123" s="1"/>
      <c r="B123" s="1"/>
      <c r="C123" s="1"/>
      <c r="D123" s="1"/>
      <c r="E123" s="1"/>
      <c r="F123" s="1"/>
      <c r="G123" s="1"/>
      <c r="H123" s="1"/>
      <c r="I123" s="1"/>
      <c r="J123" s="1"/>
      <c r="K123" s="1"/>
      <c r="L123" s="1"/>
    </row>
    <row r="124" ht="12.75" customHeight="1">
      <c r="A124" s="1"/>
      <c r="B124" s="1"/>
      <c r="C124" s="1"/>
      <c r="D124" s="1"/>
      <c r="E124" s="1"/>
      <c r="F124" s="1"/>
      <c r="G124" s="1"/>
      <c r="H124" s="1"/>
      <c r="I124" s="1"/>
      <c r="J124" s="1"/>
      <c r="K124" s="1"/>
      <c r="L124" s="1"/>
    </row>
    <row r="125" ht="12.75" customHeight="1">
      <c r="A125" s="1"/>
      <c r="B125" s="1"/>
      <c r="C125" s="1"/>
      <c r="D125" s="1"/>
      <c r="E125" s="1"/>
      <c r="F125" s="1"/>
      <c r="G125" s="1"/>
      <c r="H125" s="1"/>
      <c r="I125" s="1"/>
      <c r="J125" s="1"/>
      <c r="K125" s="1"/>
      <c r="L125" s="1"/>
    </row>
    <row r="126" ht="12.75" customHeight="1">
      <c r="A126" s="1"/>
      <c r="B126" s="1"/>
      <c r="C126" s="1"/>
      <c r="D126" s="1"/>
      <c r="E126" s="1"/>
      <c r="F126" s="1"/>
      <c r="G126" s="1"/>
      <c r="H126" s="1"/>
      <c r="I126" s="1"/>
      <c r="J126" s="1"/>
      <c r="K126" s="1"/>
      <c r="L126" s="1"/>
    </row>
    <row r="127" ht="12.75" customHeight="1">
      <c r="A127" s="1"/>
      <c r="B127" s="1"/>
      <c r="C127" s="1"/>
      <c r="D127" s="1"/>
      <c r="E127" s="1"/>
      <c r="F127" s="1"/>
      <c r="G127" s="1"/>
      <c r="H127" s="1"/>
      <c r="I127" s="1"/>
      <c r="J127" s="1"/>
      <c r="K127" s="1"/>
      <c r="L127" s="1"/>
    </row>
    <row r="128" ht="12.75" customHeight="1">
      <c r="A128" s="1"/>
      <c r="B128" s="1"/>
      <c r="C128" s="1"/>
      <c r="D128" s="1"/>
      <c r="E128" s="1"/>
      <c r="F128" s="1"/>
      <c r="G128" s="1"/>
      <c r="H128" s="1"/>
      <c r="I128" s="1"/>
      <c r="J128" s="1"/>
      <c r="K128" s="1"/>
      <c r="L128" s="1"/>
    </row>
    <row r="129" ht="12.75" customHeight="1">
      <c r="A129" s="1"/>
      <c r="B129" s="1"/>
      <c r="C129" s="1"/>
      <c r="D129" s="1"/>
      <c r="E129" s="1"/>
      <c r="F129" s="1"/>
      <c r="G129" s="1"/>
      <c r="H129" s="1"/>
      <c r="I129" s="1"/>
      <c r="J129" s="1"/>
      <c r="K129" s="1"/>
      <c r="L129" s="1"/>
    </row>
    <row r="130" ht="12.75" customHeight="1">
      <c r="A130" s="1"/>
      <c r="B130" s="1"/>
      <c r="C130" s="1"/>
      <c r="D130" s="1"/>
      <c r="E130" s="1"/>
      <c r="F130" s="1"/>
      <c r="G130" s="1"/>
      <c r="H130" s="1"/>
      <c r="I130" s="1"/>
      <c r="J130" s="1"/>
      <c r="K130" s="1"/>
      <c r="L130" s="1"/>
    </row>
    <row r="131" ht="12.75" customHeight="1">
      <c r="A131" s="1"/>
      <c r="B131" s="1"/>
      <c r="C131" s="1"/>
      <c r="D131" s="1"/>
      <c r="E131" s="1"/>
      <c r="F131" s="1"/>
      <c r="G131" s="1"/>
      <c r="H131" s="1"/>
      <c r="I131" s="1"/>
      <c r="J131" s="1"/>
      <c r="K131" s="1"/>
      <c r="L131" s="1"/>
    </row>
    <row r="132" ht="12.75" customHeight="1">
      <c r="A132" s="1"/>
      <c r="B132" s="1"/>
      <c r="C132" s="1"/>
      <c r="D132" s="1"/>
      <c r="E132" s="1"/>
      <c r="F132" s="1"/>
      <c r="G132" s="1"/>
      <c r="H132" s="1"/>
      <c r="I132" s="1"/>
      <c r="J132" s="1"/>
      <c r="K132" s="1"/>
      <c r="L132" s="1"/>
    </row>
    <row r="133" ht="12.75" customHeight="1">
      <c r="A133" s="1"/>
      <c r="B133" s="1"/>
      <c r="C133" s="1"/>
      <c r="D133" s="1"/>
      <c r="E133" s="1"/>
      <c r="F133" s="1"/>
      <c r="G133" s="1"/>
      <c r="H133" s="1"/>
      <c r="I133" s="1"/>
      <c r="J133" s="1"/>
      <c r="K133" s="1"/>
      <c r="L133" s="1"/>
    </row>
    <row r="134" ht="12.75" customHeight="1">
      <c r="A134" s="1"/>
      <c r="B134" s="1"/>
      <c r="C134" s="1"/>
      <c r="D134" s="1"/>
      <c r="E134" s="1"/>
      <c r="F134" s="1"/>
      <c r="G134" s="1"/>
      <c r="H134" s="1"/>
      <c r="I134" s="1"/>
      <c r="J134" s="1"/>
      <c r="K134" s="1"/>
      <c r="L134" s="1"/>
    </row>
    <row r="135" ht="12.75" customHeight="1">
      <c r="A135" s="1"/>
      <c r="B135" s="1"/>
      <c r="C135" s="1"/>
      <c r="D135" s="1"/>
      <c r="E135" s="1"/>
      <c r="F135" s="1"/>
      <c r="G135" s="1"/>
      <c r="H135" s="1"/>
      <c r="I135" s="1"/>
      <c r="J135" s="1"/>
      <c r="K135" s="1"/>
      <c r="L135" s="1"/>
    </row>
    <row r="136" ht="12.75" customHeight="1">
      <c r="A136" s="1"/>
      <c r="B136" s="1"/>
      <c r="C136" s="1"/>
      <c r="D136" s="1"/>
      <c r="E136" s="1"/>
      <c r="F136" s="1"/>
      <c r="G136" s="1"/>
      <c r="H136" s="1"/>
      <c r="I136" s="1"/>
      <c r="J136" s="1"/>
      <c r="K136" s="1"/>
      <c r="L136" s="1"/>
    </row>
    <row r="137" ht="12.75" customHeight="1">
      <c r="A137" s="1"/>
      <c r="B137" s="1"/>
      <c r="C137" s="1"/>
      <c r="D137" s="1"/>
      <c r="E137" s="1"/>
      <c r="F137" s="1"/>
      <c r="G137" s="1"/>
      <c r="H137" s="1"/>
      <c r="I137" s="1"/>
      <c r="J137" s="1"/>
      <c r="K137" s="1"/>
      <c r="L137" s="1"/>
    </row>
    <row r="138" ht="12.75" customHeight="1">
      <c r="A138" s="1"/>
      <c r="B138" s="1"/>
      <c r="C138" s="1"/>
      <c r="D138" s="1"/>
      <c r="E138" s="1"/>
      <c r="F138" s="1"/>
      <c r="G138" s="1"/>
      <c r="H138" s="1"/>
      <c r="I138" s="1"/>
      <c r="J138" s="1"/>
      <c r="K138" s="1"/>
      <c r="L138" s="1"/>
    </row>
    <row r="139" ht="12.75" customHeight="1">
      <c r="A139" s="1"/>
      <c r="B139" s="1"/>
      <c r="C139" s="1"/>
      <c r="D139" s="1"/>
      <c r="E139" s="1"/>
      <c r="F139" s="1"/>
      <c r="G139" s="1"/>
      <c r="H139" s="1"/>
      <c r="I139" s="1"/>
      <c r="J139" s="1"/>
      <c r="K139" s="1"/>
      <c r="L139" s="1"/>
    </row>
    <row r="140" ht="12.75" customHeight="1">
      <c r="A140" s="1"/>
      <c r="B140" s="1"/>
      <c r="C140" s="1"/>
      <c r="D140" s="1"/>
      <c r="E140" s="1"/>
      <c r="F140" s="1"/>
      <c r="G140" s="1"/>
      <c r="H140" s="1"/>
      <c r="I140" s="1"/>
      <c r="J140" s="1"/>
      <c r="K140" s="1"/>
      <c r="L140" s="1"/>
    </row>
    <row r="141" ht="12.75" customHeight="1">
      <c r="A141" s="1"/>
      <c r="B141" s="1"/>
      <c r="C141" s="1"/>
      <c r="D141" s="1"/>
      <c r="E141" s="1"/>
      <c r="F141" s="1"/>
      <c r="G141" s="1"/>
      <c r="H141" s="1"/>
      <c r="I141" s="1"/>
      <c r="J141" s="1"/>
      <c r="K141" s="1"/>
      <c r="L141" s="1"/>
    </row>
    <row r="142" ht="12.75" customHeight="1">
      <c r="A142" s="1"/>
      <c r="B142" s="1"/>
      <c r="C142" s="1"/>
      <c r="D142" s="1"/>
      <c r="E142" s="1"/>
      <c r="F142" s="1"/>
      <c r="G142" s="1"/>
      <c r="H142" s="1"/>
      <c r="I142" s="1"/>
      <c r="J142" s="1"/>
      <c r="K142" s="1"/>
      <c r="L142" s="1"/>
    </row>
    <row r="143" ht="12.75" customHeight="1">
      <c r="A143" s="1"/>
      <c r="B143" s="1"/>
      <c r="C143" s="1"/>
      <c r="D143" s="1"/>
      <c r="E143" s="1"/>
      <c r="F143" s="1"/>
      <c r="G143" s="1"/>
      <c r="H143" s="1"/>
      <c r="I143" s="1"/>
      <c r="J143" s="1"/>
      <c r="K143" s="1"/>
      <c r="L143" s="1"/>
    </row>
    <row r="144" ht="12.75" customHeight="1">
      <c r="A144" s="1"/>
      <c r="B144" s="1"/>
      <c r="C144" s="1"/>
      <c r="D144" s="1"/>
      <c r="E144" s="1"/>
      <c r="F144" s="1"/>
      <c r="G144" s="1"/>
      <c r="H144" s="1"/>
      <c r="I144" s="1"/>
      <c r="J144" s="1"/>
      <c r="K144" s="1"/>
      <c r="L144" s="1"/>
    </row>
    <row r="145" ht="12.75" customHeight="1">
      <c r="A145" s="1"/>
      <c r="B145" s="1"/>
      <c r="C145" s="1"/>
      <c r="D145" s="1"/>
      <c r="E145" s="1"/>
      <c r="F145" s="1"/>
      <c r="G145" s="1"/>
      <c r="H145" s="1"/>
      <c r="I145" s="1"/>
      <c r="J145" s="1"/>
      <c r="K145" s="1"/>
      <c r="L145" s="1"/>
    </row>
    <row r="146" ht="12.75" customHeight="1">
      <c r="A146" s="1"/>
      <c r="B146" s="1"/>
      <c r="C146" s="1"/>
      <c r="D146" s="1"/>
      <c r="E146" s="1"/>
      <c r="F146" s="1"/>
      <c r="G146" s="1"/>
      <c r="H146" s="1"/>
      <c r="I146" s="1"/>
      <c r="J146" s="1"/>
      <c r="K146" s="1"/>
      <c r="L146" s="1"/>
    </row>
    <row r="147" ht="12.75" customHeight="1">
      <c r="A147" s="1"/>
      <c r="B147" s="1"/>
      <c r="C147" s="1"/>
      <c r="D147" s="1"/>
      <c r="E147" s="1"/>
      <c r="F147" s="1"/>
      <c r="G147" s="1"/>
      <c r="H147" s="1"/>
      <c r="I147" s="1"/>
      <c r="J147" s="1"/>
      <c r="K147" s="1"/>
      <c r="L147" s="1"/>
    </row>
    <row r="148" ht="12.75" customHeight="1">
      <c r="A148" s="1"/>
      <c r="B148" s="1"/>
      <c r="C148" s="1"/>
      <c r="D148" s="1"/>
      <c r="E148" s="1"/>
      <c r="F148" s="1"/>
      <c r="G148" s="1"/>
      <c r="H148" s="1"/>
      <c r="I148" s="1"/>
      <c r="J148" s="1"/>
      <c r="K148" s="1"/>
      <c r="L148" s="1"/>
    </row>
    <row r="149" ht="12.75" customHeight="1">
      <c r="A149" s="1"/>
      <c r="B149" s="1"/>
      <c r="C149" s="1"/>
      <c r="D149" s="1"/>
      <c r="E149" s="1"/>
      <c r="F149" s="1"/>
      <c r="G149" s="1"/>
      <c r="H149" s="1"/>
      <c r="I149" s="1"/>
      <c r="J149" s="1"/>
      <c r="K149" s="1"/>
      <c r="L149" s="1"/>
    </row>
    <row r="150" ht="12.75" customHeight="1">
      <c r="A150" s="1"/>
      <c r="B150" s="1"/>
      <c r="C150" s="1"/>
      <c r="D150" s="1"/>
      <c r="E150" s="1"/>
      <c r="F150" s="1"/>
      <c r="G150" s="1"/>
      <c r="H150" s="1"/>
      <c r="I150" s="1"/>
      <c r="J150" s="1"/>
      <c r="K150" s="1"/>
      <c r="L150" s="1"/>
    </row>
    <row r="151" ht="12.75" customHeight="1">
      <c r="A151" s="1"/>
      <c r="B151" s="1"/>
      <c r="C151" s="1"/>
      <c r="D151" s="1"/>
      <c r="E151" s="1"/>
      <c r="F151" s="1"/>
      <c r="G151" s="1"/>
      <c r="H151" s="1"/>
      <c r="I151" s="1"/>
      <c r="J151" s="1"/>
      <c r="K151" s="1"/>
      <c r="L151" s="1"/>
    </row>
    <row r="152" ht="12.75" customHeight="1">
      <c r="A152" s="1"/>
      <c r="B152" s="1"/>
      <c r="C152" s="1"/>
      <c r="D152" s="1"/>
      <c r="E152" s="1"/>
      <c r="F152" s="1"/>
      <c r="G152" s="1"/>
      <c r="H152" s="1"/>
      <c r="I152" s="1"/>
      <c r="J152" s="1"/>
      <c r="K152" s="1"/>
      <c r="L152" s="1"/>
    </row>
    <row r="153" ht="12.75" customHeight="1">
      <c r="A153" s="1"/>
      <c r="B153" s="1"/>
      <c r="C153" s="1"/>
      <c r="D153" s="1"/>
      <c r="E153" s="1"/>
      <c r="F153" s="1"/>
      <c r="G153" s="1"/>
      <c r="H153" s="1"/>
      <c r="I153" s="1"/>
      <c r="J153" s="1"/>
      <c r="K153" s="1"/>
      <c r="L153" s="1"/>
    </row>
    <row r="154" ht="12.75" customHeight="1">
      <c r="A154" s="1"/>
      <c r="B154" s="1"/>
      <c r="C154" s="1"/>
      <c r="D154" s="1"/>
      <c r="E154" s="1"/>
      <c r="F154" s="1"/>
      <c r="G154" s="1"/>
      <c r="H154" s="1"/>
      <c r="I154" s="1"/>
      <c r="J154" s="1"/>
      <c r="K154" s="1"/>
      <c r="L154" s="1"/>
    </row>
    <row r="155" ht="12.75" customHeight="1">
      <c r="A155" s="1"/>
      <c r="B155" s="1"/>
      <c r="C155" s="1"/>
      <c r="D155" s="1"/>
      <c r="E155" s="1"/>
      <c r="F155" s="1"/>
      <c r="G155" s="1"/>
      <c r="H155" s="1"/>
      <c r="I155" s="1"/>
      <c r="J155" s="1"/>
      <c r="K155" s="1"/>
      <c r="L155" s="1"/>
    </row>
    <row r="156" ht="12.75" customHeight="1">
      <c r="A156" s="1"/>
      <c r="B156" s="1"/>
      <c r="C156" s="1"/>
      <c r="D156" s="1"/>
      <c r="E156" s="1"/>
      <c r="F156" s="1"/>
      <c r="G156" s="1"/>
      <c r="H156" s="1"/>
      <c r="I156" s="1"/>
      <c r="J156" s="1"/>
      <c r="K156" s="1"/>
      <c r="L156" s="1"/>
    </row>
    <row r="157" ht="12.75" customHeight="1">
      <c r="A157" s="1"/>
      <c r="B157" s="1"/>
      <c r="C157" s="1"/>
      <c r="D157" s="1"/>
      <c r="E157" s="1"/>
      <c r="F157" s="1"/>
      <c r="G157" s="1"/>
      <c r="H157" s="1"/>
      <c r="I157" s="1"/>
      <c r="J157" s="1"/>
      <c r="K157" s="1"/>
      <c r="L157" s="1"/>
    </row>
    <row r="158" ht="12.75" customHeight="1">
      <c r="A158" s="1"/>
      <c r="B158" s="1"/>
      <c r="C158" s="1"/>
      <c r="D158" s="1"/>
      <c r="E158" s="1"/>
      <c r="F158" s="1"/>
      <c r="G158" s="1"/>
      <c r="H158" s="1"/>
      <c r="I158" s="1"/>
      <c r="J158" s="1"/>
      <c r="K158" s="1"/>
      <c r="L158" s="1"/>
    </row>
    <row r="159" ht="12.75" customHeight="1">
      <c r="A159" s="1"/>
      <c r="B159" s="1"/>
      <c r="C159" s="1"/>
      <c r="D159" s="1"/>
      <c r="E159" s="1"/>
      <c r="F159" s="1"/>
      <c r="G159" s="1"/>
      <c r="H159" s="1"/>
      <c r="I159" s="1"/>
      <c r="J159" s="1"/>
      <c r="K159" s="1"/>
      <c r="L159" s="1"/>
    </row>
    <row r="160" ht="12.75" customHeight="1">
      <c r="A160" s="1"/>
      <c r="B160" s="1"/>
      <c r="C160" s="1"/>
      <c r="D160" s="1"/>
      <c r="E160" s="1"/>
      <c r="F160" s="1"/>
      <c r="G160" s="1"/>
      <c r="H160" s="1"/>
      <c r="I160" s="1"/>
      <c r="J160" s="1"/>
      <c r="K160" s="1"/>
      <c r="L160" s="1"/>
    </row>
    <row r="161" ht="12.75" customHeight="1">
      <c r="A161" s="1"/>
      <c r="B161" s="1"/>
      <c r="C161" s="1"/>
      <c r="D161" s="1"/>
      <c r="E161" s="1"/>
      <c r="F161" s="1"/>
      <c r="G161" s="1"/>
      <c r="H161" s="1"/>
      <c r="I161" s="1"/>
      <c r="J161" s="1"/>
      <c r="K161" s="1"/>
      <c r="L161" s="1"/>
    </row>
    <row r="162" ht="12.75" customHeight="1">
      <c r="A162" s="1"/>
      <c r="B162" s="1"/>
      <c r="C162" s="1"/>
      <c r="D162" s="1"/>
      <c r="E162" s="1"/>
      <c r="F162" s="1"/>
      <c r="G162" s="1"/>
      <c r="H162" s="1"/>
      <c r="I162" s="1"/>
      <c r="J162" s="1"/>
      <c r="K162" s="1"/>
      <c r="L162" s="1"/>
    </row>
    <row r="163" ht="12.75" customHeight="1">
      <c r="A163" s="1"/>
      <c r="B163" s="1"/>
      <c r="C163" s="1"/>
      <c r="D163" s="1"/>
      <c r="E163" s="1"/>
      <c r="F163" s="1"/>
      <c r="G163" s="1"/>
      <c r="H163" s="1"/>
      <c r="I163" s="1"/>
      <c r="J163" s="1"/>
      <c r="K163" s="1"/>
      <c r="L163" s="1"/>
    </row>
    <row r="164" ht="12.75" customHeight="1">
      <c r="A164" s="1"/>
      <c r="B164" s="1"/>
      <c r="C164" s="1"/>
      <c r="D164" s="1"/>
      <c r="E164" s="1"/>
      <c r="F164" s="1"/>
      <c r="G164" s="1"/>
      <c r="H164" s="1"/>
      <c r="I164" s="1"/>
      <c r="J164" s="1"/>
      <c r="K164" s="1"/>
      <c r="L164" s="1"/>
    </row>
    <row r="165" ht="12.75" customHeight="1">
      <c r="A165" s="1"/>
      <c r="B165" s="1"/>
      <c r="C165" s="1"/>
      <c r="D165" s="1"/>
      <c r="E165" s="1"/>
      <c r="F165" s="1"/>
      <c r="G165" s="1"/>
      <c r="H165" s="1"/>
      <c r="I165" s="1"/>
      <c r="J165" s="1"/>
      <c r="K165" s="1"/>
      <c r="L165" s="1"/>
    </row>
    <row r="166" ht="12.75" customHeight="1">
      <c r="A166" s="1"/>
      <c r="B166" s="1"/>
      <c r="C166" s="1"/>
      <c r="D166" s="1"/>
      <c r="E166" s="1"/>
      <c r="F166" s="1"/>
      <c r="G166" s="1"/>
      <c r="H166" s="1"/>
      <c r="I166" s="1"/>
      <c r="J166" s="1"/>
      <c r="K166" s="1"/>
      <c r="L166" s="1"/>
    </row>
    <row r="167" ht="12.75" customHeight="1">
      <c r="A167" s="1"/>
      <c r="B167" s="1"/>
      <c r="C167" s="1"/>
      <c r="D167" s="1"/>
      <c r="E167" s="1"/>
      <c r="F167" s="1"/>
      <c r="G167" s="1"/>
      <c r="H167" s="1"/>
      <c r="I167" s="1"/>
      <c r="J167" s="1"/>
      <c r="K167" s="1"/>
      <c r="L167" s="1"/>
    </row>
    <row r="168" ht="12.75" customHeight="1">
      <c r="A168" s="1"/>
      <c r="B168" s="1"/>
      <c r="C168" s="1"/>
      <c r="D168" s="1"/>
      <c r="E168" s="1"/>
      <c r="F168" s="1"/>
      <c r="G168" s="1"/>
      <c r="H168" s="1"/>
      <c r="I168" s="1"/>
      <c r="J168" s="1"/>
      <c r="K168" s="1"/>
      <c r="L168" s="1"/>
    </row>
    <row r="169" ht="12.75" customHeight="1">
      <c r="A169" s="1"/>
      <c r="B169" s="1"/>
      <c r="C169" s="1"/>
      <c r="D169" s="1"/>
      <c r="E169" s="1"/>
      <c r="F169" s="1"/>
      <c r="G169" s="1"/>
      <c r="H169" s="1"/>
      <c r="I169" s="1"/>
      <c r="J169" s="1"/>
      <c r="K169" s="1"/>
      <c r="L169" s="1"/>
    </row>
    <row r="170" ht="12.75" customHeight="1">
      <c r="A170" s="1"/>
      <c r="B170" s="1"/>
      <c r="C170" s="1"/>
      <c r="D170" s="1"/>
      <c r="E170" s="1"/>
      <c r="F170" s="1"/>
      <c r="G170" s="1"/>
      <c r="H170" s="1"/>
      <c r="I170" s="1"/>
      <c r="J170" s="1"/>
      <c r="K170" s="1"/>
      <c r="L170" s="1"/>
    </row>
    <row r="171" ht="12.75" customHeight="1">
      <c r="A171" s="1"/>
      <c r="B171" s="1"/>
      <c r="C171" s="1"/>
      <c r="D171" s="1"/>
      <c r="E171" s="1"/>
      <c r="F171" s="1"/>
      <c r="G171" s="1"/>
      <c r="H171" s="1"/>
      <c r="I171" s="1"/>
      <c r="J171" s="1"/>
      <c r="K171" s="1"/>
      <c r="L171" s="1"/>
    </row>
    <row r="172" ht="12.75" customHeight="1">
      <c r="A172" s="1"/>
      <c r="B172" s="1"/>
      <c r="C172" s="1"/>
      <c r="D172" s="1"/>
      <c r="E172" s="1"/>
      <c r="F172" s="1"/>
      <c r="G172" s="1"/>
      <c r="H172" s="1"/>
      <c r="I172" s="1"/>
      <c r="J172" s="1"/>
      <c r="K172" s="1"/>
      <c r="L172" s="1"/>
    </row>
    <row r="173" ht="12.75" customHeight="1">
      <c r="A173" s="1"/>
      <c r="B173" s="1"/>
      <c r="C173" s="1"/>
      <c r="D173" s="1"/>
      <c r="E173" s="1"/>
      <c r="F173" s="1"/>
      <c r="G173" s="1"/>
      <c r="H173" s="1"/>
      <c r="I173" s="1"/>
      <c r="J173" s="1"/>
      <c r="K173" s="1"/>
      <c r="L173" s="1"/>
    </row>
    <row r="174" ht="12.75" customHeight="1">
      <c r="A174" s="1"/>
      <c r="B174" s="1"/>
      <c r="C174" s="1"/>
      <c r="D174" s="1"/>
      <c r="E174" s="1"/>
      <c r="F174" s="1"/>
      <c r="G174" s="1"/>
      <c r="H174" s="1"/>
      <c r="I174" s="1"/>
      <c r="J174" s="1"/>
      <c r="K174" s="1"/>
      <c r="L174" s="1"/>
    </row>
    <row r="175" ht="12.75" customHeight="1">
      <c r="A175" s="1"/>
      <c r="B175" s="1"/>
      <c r="C175" s="1"/>
      <c r="D175" s="1"/>
      <c r="E175" s="1"/>
      <c r="F175" s="1"/>
      <c r="G175" s="1"/>
      <c r="H175" s="1"/>
      <c r="I175" s="1"/>
      <c r="J175" s="1"/>
      <c r="K175" s="1"/>
      <c r="L175" s="1"/>
    </row>
    <row r="176" ht="12.75" customHeight="1">
      <c r="A176" s="1"/>
      <c r="B176" s="1"/>
      <c r="C176" s="1"/>
      <c r="D176" s="1"/>
      <c r="E176" s="1"/>
      <c r="F176" s="1"/>
      <c r="G176" s="1"/>
      <c r="H176" s="1"/>
      <c r="I176" s="1"/>
      <c r="J176" s="1"/>
      <c r="K176" s="1"/>
      <c r="L176" s="1"/>
    </row>
    <row r="177" ht="12.75" customHeight="1">
      <c r="A177" s="1"/>
      <c r="B177" s="1"/>
      <c r="C177" s="1"/>
      <c r="D177" s="1"/>
      <c r="E177" s="1"/>
      <c r="F177" s="1"/>
      <c r="G177" s="1"/>
      <c r="H177" s="1"/>
      <c r="I177" s="1"/>
      <c r="J177" s="1"/>
      <c r="K177" s="1"/>
      <c r="L177" s="1"/>
    </row>
    <row r="178" ht="12.75" customHeight="1">
      <c r="A178" s="1"/>
      <c r="B178" s="1"/>
      <c r="C178" s="1"/>
      <c r="D178" s="1"/>
      <c r="E178" s="1"/>
      <c r="F178" s="1"/>
      <c r="G178" s="1"/>
      <c r="H178" s="1"/>
      <c r="I178" s="1"/>
      <c r="J178" s="1"/>
      <c r="K178" s="1"/>
      <c r="L178" s="1"/>
    </row>
    <row r="179" ht="12.75" customHeight="1">
      <c r="A179" s="1"/>
      <c r="B179" s="1"/>
      <c r="C179" s="1"/>
      <c r="D179" s="1"/>
      <c r="E179" s="1"/>
      <c r="F179" s="1"/>
      <c r="G179" s="1"/>
      <c r="H179" s="1"/>
      <c r="I179" s="1"/>
      <c r="J179" s="1"/>
      <c r="K179" s="1"/>
      <c r="L179" s="1"/>
    </row>
    <row r="180" ht="12.75" customHeight="1">
      <c r="A180" s="1"/>
      <c r="B180" s="1"/>
      <c r="C180" s="1"/>
      <c r="D180" s="1"/>
      <c r="E180" s="1"/>
      <c r="F180" s="1"/>
      <c r="G180" s="1"/>
      <c r="H180" s="1"/>
      <c r="I180" s="1"/>
      <c r="J180" s="1"/>
      <c r="K180" s="1"/>
      <c r="L180" s="1"/>
    </row>
    <row r="181" ht="12.75" customHeight="1">
      <c r="A181" s="1"/>
      <c r="B181" s="1"/>
      <c r="C181" s="1"/>
      <c r="D181" s="1"/>
      <c r="E181" s="1"/>
      <c r="F181" s="1"/>
      <c r="G181" s="1"/>
      <c r="H181" s="1"/>
      <c r="I181" s="1"/>
      <c r="J181" s="1"/>
      <c r="K181" s="1"/>
      <c r="L181" s="1"/>
    </row>
    <row r="182" ht="12.75" customHeight="1">
      <c r="A182" s="1"/>
      <c r="B182" s="1"/>
      <c r="C182" s="1"/>
      <c r="D182" s="1"/>
      <c r="E182" s="1"/>
      <c r="F182" s="1"/>
      <c r="G182" s="1"/>
      <c r="H182" s="1"/>
      <c r="I182" s="1"/>
      <c r="J182" s="1"/>
      <c r="K182" s="1"/>
      <c r="L182" s="1"/>
    </row>
    <row r="183" ht="12.75" customHeight="1">
      <c r="A183" s="1"/>
      <c r="B183" s="1"/>
      <c r="C183" s="1"/>
      <c r="D183" s="1"/>
      <c r="E183" s="1"/>
      <c r="F183" s="1"/>
      <c r="G183" s="1"/>
      <c r="H183" s="1"/>
      <c r="I183" s="1"/>
      <c r="J183" s="1"/>
      <c r="K183" s="1"/>
      <c r="L183" s="1"/>
    </row>
    <row r="184" ht="12.75" customHeight="1">
      <c r="A184" s="1"/>
      <c r="B184" s="1"/>
      <c r="C184" s="1"/>
      <c r="D184" s="1"/>
      <c r="E184" s="1"/>
      <c r="F184" s="1"/>
      <c r="G184" s="1"/>
      <c r="H184" s="1"/>
      <c r="I184" s="1"/>
      <c r="J184" s="1"/>
      <c r="K184" s="1"/>
      <c r="L184" s="1"/>
    </row>
    <row r="185" ht="12.75" customHeight="1">
      <c r="A185" s="1"/>
      <c r="B185" s="1"/>
      <c r="C185" s="1"/>
      <c r="D185" s="1"/>
      <c r="E185" s="1"/>
      <c r="F185" s="1"/>
      <c r="G185" s="1"/>
      <c r="H185" s="1"/>
      <c r="I185" s="1"/>
      <c r="J185" s="1"/>
      <c r="K185" s="1"/>
      <c r="L185" s="1"/>
    </row>
    <row r="186" ht="12.75" customHeight="1">
      <c r="A186" s="1"/>
      <c r="B186" s="1"/>
      <c r="C186" s="1"/>
      <c r="D186" s="1"/>
      <c r="E186" s="1"/>
      <c r="F186" s="1"/>
      <c r="G186" s="1"/>
      <c r="H186" s="1"/>
      <c r="I186" s="1"/>
      <c r="J186" s="1"/>
      <c r="K186" s="1"/>
      <c r="L186" s="1"/>
    </row>
    <row r="187" ht="12.75" customHeight="1">
      <c r="A187" s="1"/>
      <c r="B187" s="1"/>
      <c r="C187" s="1"/>
      <c r="D187" s="1"/>
      <c r="E187" s="1"/>
      <c r="F187" s="1"/>
      <c r="G187" s="1"/>
      <c r="H187" s="1"/>
      <c r="I187" s="1"/>
      <c r="J187" s="1"/>
      <c r="K187" s="1"/>
      <c r="L187" s="1"/>
    </row>
    <row r="188" ht="12.75" customHeight="1">
      <c r="A188" s="1"/>
      <c r="B188" s="1"/>
      <c r="C188" s="1"/>
      <c r="D188" s="1"/>
      <c r="E188" s="1"/>
      <c r="F188" s="1"/>
      <c r="G188" s="1"/>
      <c r="H188" s="1"/>
      <c r="I188" s="1"/>
      <c r="J188" s="1"/>
      <c r="K188" s="1"/>
      <c r="L188" s="1"/>
    </row>
    <row r="189" ht="12.75" customHeight="1">
      <c r="A189" s="1"/>
      <c r="B189" s="1"/>
      <c r="C189" s="1"/>
      <c r="D189" s="1"/>
      <c r="E189" s="1"/>
      <c r="F189" s="1"/>
      <c r="G189" s="1"/>
      <c r="H189" s="1"/>
      <c r="I189" s="1"/>
      <c r="J189" s="1"/>
      <c r="K189" s="1"/>
      <c r="L189" s="1"/>
    </row>
    <row r="190" ht="12.75" customHeight="1">
      <c r="A190" s="1"/>
      <c r="B190" s="1"/>
      <c r="C190" s="1"/>
      <c r="D190" s="1"/>
      <c r="E190" s="1"/>
      <c r="F190" s="1"/>
      <c r="G190" s="1"/>
      <c r="H190" s="1"/>
      <c r="I190" s="1"/>
      <c r="J190" s="1"/>
      <c r="K190" s="1"/>
      <c r="L190" s="1"/>
    </row>
    <row r="191" ht="12.75" customHeight="1">
      <c r="A191" s="1"/>
      <c r="B191" s="1"/>
      <c r="C191" s="1"/>
      <c r="D191" s="1"/>
      <c r="E191" s="1"/>
      <c r="F191" s="1"/>
      <c r="G191" s="1"/>
      <c r="H191" s="1"/>
      <c r="I191" s="1"/>
      <c r="J191" s="1"/>
      <c r="K191" s="1"/>
      <c r="L191" s="1"/>
    </row>
    <row r="192" ht="12.75" customHeight="1">
      <c r="A192" s="1"/>
      <c r="B192" s="1"/>
      <c r="C192" s="1"/>
      <c r="D192" s="1"/>
      <c r="E192" s="1"/>
      <c r="F192" s="1"/>
      <c r="G192" s="1"/>
      <c r="H192" s="1"/>
      <c r="I192" s="1"/>
      <c r="J192" s="1"/>
      <c r="K192" s="1"/>
      <c r="L192" s="1"/>
    </row>
    <row r="193" ht="12.75" customHeight="1">
      <c r="A193" s="1"/>
      <c r="B193" s="1"/>
      <c r="C193" s="1"/>
      <c r="D193" s="1"/>
      <c r="E193" s="1"/>
      <c r="F193" s="1"/>
      <c r="G193" s="1"/>
      <c r="H193" s="1"/>
      <c r="I193" s="1"/>
      <c r="J193" s="1"/>
      <c r="K193" s="1"/>
      <c r="L193" s="1"/>
    </row>
    <row r="194" ht="12.75" customHeight="1">
      <c r="A194" s="1"/>
      <c r="B194" s="1"/>
      <c r="C194" s="1"/>
      <c r="D194" s="1"/>
      <c r="E194" s="1"/>
      <c r="F194" s="1"/>
      <c r="G194" s="1"/>
      <c r="H194" s="1"/>
      <c r="I194" s="1"/>
      <c r="J194" s="1"/>
      <c r="K194" s="1"/>
      <c r="L194" s="1"/>
    </row>
    <row r="195" ht="12.75" customHeight="1">
      <c r="A195" s="1"/>
      <c r="B195" s="1"/>
      <c r="C195" s="1"/>
      <c r="D195" s="1"/>
      <c r="E195" s="1"/>
      <c r="F195" s="1"/>
      <c r="G195" s="1"/>
      <c r="H195" s="1"/>
      <c r="I195" s="1"/>
      <c r="J195" s="1"/>
      <c r="K195" s="1"/>
      <c r="L195" s="1"/>
    </row>
    <row r="196" ht="12.75" customHeight="1">
      <c r="A196" s="1"/>
      <c r="B196" s="1"/>
      <c r="C196" s="1"/>
      <c r="D196" s="1"/>
      <c r="E196" s="1"/>
      <c r="F196" s="1"/>
      <c r="G196" s="1"/>
      <c r="H196" s="1"/>
      <c r="I196" s="1"/>
      <c r="J196" s="1"/>
      <c r="K196" s="1"/>
      <c r="L196" s="1"/>
    </row>
    <row r="197" ht="12.75" customHeight="1">
      <c r="A197" s="1"/>
      <c r="B197" s="1"/>
      <c r="C197" s="1"/>
      <c r="D197" s="1"/>
      <c r="E197" s="1"/>
      <c r="F197" s="1"/>
      <c r="G197" s="1"/>
      <c r="H197" s="1"/>
      <c r="I197" s="1"/>
      <c r="J197" s="1"/>
      <c r="K197" s="1"/>
      <c r="L197" s="1"/>
    </row>
    <row r="198" ht="12.75" customHeight="1">
      <c r="A198" s="1"/>
      <c r="B198" s="1"/>
      <c r="C198" s="1"/>
      <c r="D198" s="1"/>
      <c r="E198" s="1"/>
      <c r="F198" s="1"/>
      <c r="G198" s="1"/>
      <c r="H198" s="1"/>
      <c r="I198" s="1"/>
      <c r="J198" s="1"/>
      <c r="K198" s="1"/>
      <c r="L198" s="1"/>
    </row>
    <row r="199" ht="12.75" customHeight="1">
      <c r="A199" s="1"/>
      <c r="B199" s="1"/>
      <c r="C199" s="1"/>
      <c r="D199" s="1"/>
      <c r="E199" s="1"/>
      <c r="F199" s="1"/>
      <c r="G199" s="1"/>
      <c r="H199" s="1"/>
      <c r="I199" s="1"/>
      <c r="J199" s="1"/>
      <c r="K199" s="1"/>
      <c r="L199" s="1"/>
    </row>
    <row r="200" ht="12.75" customHeight="1">
      <c r="A200" s="1"/>
      <c r="B200" s="1"/>
      <c r="C200" s="1"/>
      <c r="D200" s="1"/>
      <c r="E200" s="1"/>
      <c r="F200" s="1"/>
      <c r="G200" s="1"/>
      <c r="H200" s="1"/>
      <c r="I200" s="1"/>
      <c r="J200" s="1"/>
      <c r="K200" s="1"/>
      <c r="L200" s="1"/>
    </row>
    <row r="201" ht="12.75" customHeight="1">
      <c r="A201" s="1"/>
      <c r="B201" s="1"/>
      <c r="C201" s="1"/>
      <c r="D201" s="1"/>
      <c r="E201" s="1"/>
      <c r="F201" s="1"/>
      <c r="G201" s="1"/>
      <c r="H201" s="1"/>
      <c r="I201" s="1"/>
      <c r="J201" s="1"/>
      <c r="K201" s="1"/>
      <c r="L201" s="1"/>
    </row>
    <row r="202" ht="12.75" customHeight="1">
      <c r="A202" s="1"/>
      <c r="B202" s="1"/>
      <c r="C202" s="1"/>
      <c r="D202" s="1"/>
      <c r="E202" s="1"/>
      <c r="F202" s="1"/>
      <c r="G202" s="1"/>
      <c r="H202" s="1"/>
      <c r="I202" s="1"/>
      <c r="J202" s="1"/>
      <c r="K202" s="1"/>
      <c r="L202" s="1"/>
    </row>
    <row r="203" ht="12.75" customHeight="1">
      <c r="A203" s="1"/>
      <c r="B203" s="1"/>
      <c r="C203" s="1"/>
      <c r="D203" s="1"/>
      <c r="E203" s="1"/>
      <c r="F203" s="1"/>
      <c r="G203" s="1"/>
      <c r="H203" s="1"/>
      <c r="I203" s="1"/>
      <c r="J203" s="1"/>
      <c r="K203" s="1"/>
      <c r="L203" s="1"/>
    </row>
    <row r="204" ht="12.75" customHeight="1">
      <c r="A204" s="1"/>
      <c r="B204" s="1"/>
      <c r="C204" s="1"/>
      <c r="D204" s="1"/>
      <c r="E204" s="1"/>
      <c r="F204" s="1"/>
      <c r="G204" s="1"/>
      <c r="H204" s="1"/>
      <c r="I204" s="1"/>
      <c r="J204" s="1"/>
      <c r="K204" s="1"/>
      <c r="L204" s="1"/>
    </row>
    <row r="205" ht="12.75" customHeight="1">
      <c r="A205" s="1"/>
      <c r="B205" s="1"/>
      <c r="C205" s="1"/>
      <c r="D205" s="1"/>
      <c r="E205" s="1"/>
      <c r="F205" s="1"/>
      <c r="G205" s="1"/>
      <c r="H205" s="1"/>
      <c r="I205" s="1"/>
      <c r="J205" s="1"/>
      <c r="K205" s="1"/>
      <c r="L205" s="1"/>
    </row>
    <row r="206" ht="12.75" customHeight="1">
      <c r="A206" s="1"/>
      <c r="B206" s="1"/>
      <c r="C206" s="1"/>
      <c r="D206" s="1"/>
      <c r="E206" s="1"/>
      <c r="F206" s="1"/>
      <c r="G206" s="1"/>
      <c r="H206" s="1"/>
      <c r="I206" s="1"/>
      <c r="J206" s="1"/>
      <c r="K206" s="1"/>
      <c r="L206" s="1"/>
    </row>
    <row r="207" ht="12.75" customHeight="1">
      <c r="A207" s="1"/>
      <c r="B207" s="1"/>
      <c r="C207" s="1"/>
      <c r="D207" s="1"/>
      <c r="E207" s="1"/>
      <c r="F207" s="1"/>
      <c r="G207" s="1"/>
      <c r="H207" s="1"/>
      <c r="I207" s="1"/>
      <c r="J207" s="1"/>
      <c r="K207" s="1"/>
      <c r="L207" s="1"/>
    </row>
    <row r="208" ht="12.75" customHeight="1">
      <c r="A208" s="1"/>
      <c r="B208" s="1"/>
      <c r="C208" s="1"/>
      <c r="D208" s="1"/>
      <c r="E208" s="1"/>
      <c r="F208" s="1"/>
      <c r="G208" s="1"/>
      <c r="H208" s="1"/>
      <c r="I208" s="1"/>
      <c r="J208" s="1"/>
      <c r="K208" s="1"/>
      <c r="L208" s="1"/>
    </row>
    <row r="209" ht="12.75" customHeight="1">
      <c r="A209" s="1"/>
      <c r="B209" s="1"/>
      <c r="C209" s="1"/>
      <c r="D209" s="1"/>
      <c r="E209" s="1"/>
      <c r="F209" s="1"/>
      <c r="G209" s="1"/>
      <c r="H209" s="1"/>
      <c r="I209" s="1"/>
      <c r="J209" s="1"/>
      <c r="K209" s="1"/>
      <c r="L209" s="1"/>
    </row>
    <row r="210" ht="12.75" customHeight="1">
      <c r="A210" s="1"/>
      <c r="B210" s="1"/>
      <c r="C210" s="1"/>
      <c r="D210" s="1"/>
      <c r="E210" s="1"/>
      <c r="F210" s="1"/>
      <c r="G210" s="1"/>
      <c r="H210" s="1"/>
      <c r="I210" s="1"/>
      <c r="J210" s="1"/>
      <c r="K210" s="1"/>
      <c r="L210" s="1"/>
    </row>
    <row r="211" ht="12.75" customHeight="1">
      <c r="A211" s="1"/>
      <c r="B211" s="1"/>
      <c r="C211" s="1"/>
      <c r="D211" s="1"/>
      <c r="E211" s="1"/>
      <c r="F211" s="1"/>
      <c r="G211" s="1"/>
      <c r="H211" s="1"/>
      <c r="I211" s="1"/>
      <c r="J211" s="1"/>
      <c r="K211" s="1"/>
      <c r="L211" s="1"/>
    </row>
    <row r="212" ht="12.75" customHeight="1">
      <c r="A212" s="1"/>
      <c r="B212" s="1"/>
      <c r="C212" s="1"/>
      <c r="D212" s="1"/>
      <c r="E212" s="1"/>
      <c r="F212" s="1"/>
      <c r="G212" s="1"/>
      <c r="H212" s="1"/>
      <c r="I212" s="1"/>
      <c r="J212" s="1"/>
      <c r="K212" s="1"/>
      <c r="L212" s="1"/>
    </row>
    <row r="213" ht="12.75" customHeight="1">
      <c r="A213" s="1"/>
      <c r="B213" s="1"/>
      <c r="C213" s="1"/>
      <c r="D213" s="1"/>
      <c r="E213" s="1"/>
      <c r="F213" s="1"/>
      <c r="G213" s="1"/>
      <c r="H213" s="1"/>
      <c r="I213" s="1"/>
      <c r="J213" s="1"/>
      <c r="K213" s="1"/>
      <c r="L213" s="1"/>
    </row>
    <row r="214" ht="12.75" customHeight="1">
      <c r="A214" s="1"/>
      <c r="B214" s="1"/>
      <c r="C214" s="1"/>
      <c r="D214" s="1"/>
      <c r="E214" s="1"/>
      <c r="F214" s="1"/>
      <c r="G214" s="1"/>
      <c r="H214" s="1"/>
      <c r="I214" s="1"/>
      <c r="J214" s="1"/>
      <c r="K214" s="1"/>
      <c r="L214" s="1"/>
    </row>
    <row r="215" ht="12.75" customHeight="1">
      <c r="A215" s="1"/>
      <c r="B215" s="1"/>
      <c r="C215" s="1"/>
      <c r="D215" s="1"/>
      <c r="E215" s="1"/>
      <c r="F215" s="1"/>
      <c r="G215" s="1"/>
      <c r="H215" s="1"/>
      <c r="I215" s="1"/>
      <c r="J215" s="1"/>
      <c r="K215" s="1"/>
      <c r="L215" s="1"/>
    </row>
    <row r="216" ht="12.75" customHeight="1">
      <c r="A216" s="1"/>
      <c r="B216" s="1"/>
      <c r="C216" s="1"/>
      <c r="D216" s="1"/>
      <c r="E216" s="1"/>
      <c r="F216" s="1"/>
      <c r="G216" s="1"/>
      <c r="H216" s="1"/>
      <c r="I216" s="1"/>
      <c r="J216" s="1"/>
      <c r="K216" s="1"/>
      <c r="L216" s="1"/>
    </row>
    <row r="217" ht="12.75" customHeight="1">
      <c r="A217" s="1"/>
      <c r="B217" s="1"/>
      <c r="C217" s="1"/>
      <c r="D217" s="1"/>
      <c r="E217" s="1"/>
      <c r="F217" s="1"/>
      <c r="G217" s="1"/>
      <c r="H217" s="1"/>
      <c r="I217" s="1"/>
      <c r="J217" s="1"/>
      <c r="K217" s="1"/>
      <c r="L217" s="1"/>
    </row>
    <row r="218" ht="12.75" customHeight="1">
      <c r="A218" s="1"/>
      <c r="B218" s="1"/>
      <c r="C218" s="1"/>
      <c r="D218" s="1"/>
      <c r="E218" s="1"/>
      <c r="F218" s="1"/>
      <c r="G218" s="1"/>
      <c r="H218" s="1"/>
      <c r="I218" s="1"/>
      <c r="J218" s="1"/>
      <c r="K218" s="1"/>
      <c r="L218" s="1"/>
    </row>
    <row r="219" ht="12.75" customHeight="1">
      <c r="A219" s="1"/>
      <c r="B219" s="1"/>
      <c r="C219" s="1"/>
      <c r="D219" s="1"/>
      <c r="E219" s="1"/>
      <c r="F219" s="1"/>
      <c r="G219" s="1"/>
      <c r="H219" s="1"/>
      <c r="I219" s="1"/>
      <c r="J219" s="1"/>
      <c r="K219" s="1"/>
      <c r="L219" s="1"/>
    </row>
    <row r="220" ht="12.75" customHeight="1">
      <c r="A220" s="1"/>
      <c r="B220" s="1"/>
      <c r="C220" s="1"/>
      <c r="D220" s="1"/>
      <c r="E220" s="1"/>
      <c r="F220" s="1"/>
      <c r="G220" s="1"/>
      <c r="H220" s="1"/>
      <c r="I220" s="1"/>
      <c r="J220" s="1"/>
      <c r="K220" s="1"/>
      <c r="L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G1"/>
    <mergeCell ref="B11:K18"/>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C3E50"/>
    <pageSetUpPr/>
  </sheetPr>
  <sheetViews>
    <sheetView showGridLines="0" workbookViewId="0"/>
  </sheetViews>
  <sheetFormatPr customHeight="1" defaultColWidth="12.63" defaultRowHeight="15.0"/>
  <cols>
    <col customWidth="1" min="1" max="1" width="2.0"/>
    <col customWidth="1" min="2" max="9" width="24.13"/>
    <col customWidth="1" min="10" max="26" width="12.75"/>
  </cols>
  <sheetData>
    <row r="1" ht="30.0" customHeight="1">
      <c r="A1" s="1"/>
      <c r="B1" s="68" t="s">
        <v>60</v>
      </c>
      <c r="C1" s="5"/>
      <c r="D1" s="5"/>
      <c r="E1" s="5"/>
      <c r="F1" s="5"/>
      <c r="G1" s="5"/>
      <c r="H1" s="5"/>
      <c r="I1" s="9"/>
    </row>
    <row r="2" ht="4.5" customHeight="1">
      <c r="A2" s="1"/>
      <c r="B2" s="1"/>
      <c r="I2" s="1"/>
    </row>
    <row r="3" ht="22.5" customHeight="1">
      <c r="A3" s="1"/>
      <c r="B3" s="1"/>
      <c r="C3" s="1"/>
      <c r="D3" s="70"/>
      <c r="E3" s="1"/>
      <c r="F3" s="1"/>
      <c r="G3" s="1"/>
      <c r="H3" s="1"/>
      <c r="I3" s="1"/>
    </row>
    <row r="4" ht="18.0" customHeight="1">
      <c r="A4" s="1"/>
      <c r="B4" s="73" t="s">
        <v>62</v>
      </c>
      <c r="C4" s="5"/>
      <c r="D4" s="5"/>
      <c r="E4" s="5"/>
      <c r="F4" s="5"/>
      <c r="G4" s="5"/>
      <c r="H4" s="5"/>
      <c r="I4" s="9"/>
    </row>
    <row r="5" ht="18.0" customHeight="1">
      <c r="A5" s="1"/>
      <c r="B5" s="14" t="s">
        <v>63</v>
      </c>
      <c r="C5" s="14" t="s">
        <v>12</v>
      </c>
      <c r="D5" s="76" t="s">
        <v>14</v>
      </c>
      <c r="E5" s="14" t="s">
        <v>15</v>
      </c>
      <c r="F5" s="14" t="s">
        <v>16</v>
      </c>
      <c r="G5" s="14" t="s">
        <v>18</v>
      </c>
      <c r="H5" s="14" t="s">
        <v>74</v>
      </c>
      <c r="I5" s="14" t="s">
        <v>75</v>
      </c>
    </row>
    <row r="6" ht="18.0" customHeight="1">
      <c r="A6" s="78"/>
      <c r="B6" s="80" t="s">
        <v>76</v>
      </c>
      <c r="C6" s="81">
        <v>63.0</v>
      </c>
      <c r="D6" s="81">
        <v>68.0</v>
      </c>
      <c r="E6" s="81">
        <v>70.0</v>
      </c>
      <c r="F6" s="81">
        <v>73.0</v>
      </c>
      <c r="G6" s="81">
        <v>75.0</v>
      </c>
      <c r="H6" s="81">
        <f>AVERAGE(C6:G6)</f>
        <v>69.8</v>
      </c>
      <c r="I6" s="81">
        <f>qale_baseline_q5-qale_baseline_q1</f>
        <v>12</v>
      </c>
    </row>
    <row r="7" ht="3.75" customHeight="1">
      <c r="A7" s="1"/>
      <c r="B7" s="1"/>
      <c r="C7" s="1"/>
      <c r="D7" s="70"/>
      <c r="E7" s="1"/>
      <c r="F7" s="1"/>
      <c r="G7" s="1"/>
      <c r="H7" s="1"/>
      <c r="I7" s="1"/>
    </row>
    <row r="8" ht="18.0" customHeight="1">
      <c r="A8" s="78"/>
      <c r="B8" s="84" t="s">
        <v>77</v>
      </c>
      <c r="C8" s="86">
        <f t="array" ref="C8">(benefit!C10 - oppcost!C7)/Q1_P</f>
        <v>-0.00002344008159</v>
      </c>
      <c r="D8" s="86">
        <f t="array" ref="D8">(benefit!D10 - oppcost!D7)/Q2_P</f>
        <v>-0.000009019093451</v>
      </c>
      <c r="E8" s="86">
        <f t="array" ref="E8">(benefit!E10 - oppcost!E7)/Q3_P</f>
        <v>-0.0000008828551511</v>
      </c>
      <c r="F8" s="86">
        <f t="array" ref="F8">(benefit!F10 - oppcost!F7)/Q4_P</f>
        <v>0.0000208984936</v>
      </c>
      <c r="G8" s="86">
        <f t="array" ref="G8">(benefit!G10 - oppcost!G7)/Q5_P</f>
        <v>0.00004106822665</v>
      </c>
      <c r="H8" s="86">
        <f>SUM(C8:G8)</f>
        <v>0.00002862469006</v>
      </c>
      <c r="I8" s="1"/>
    </row>
    <row r="9" ht="3.75" customHeight="1">
      <c r="A9" s="1"/>
      <c r="B9" s="1"/>
      <c r="C9" s="1"/>
      <c r="D9" s="70"/>
      <c r="E9" s="1"/>
      <c r="F9" s="1"/>
      <c r="G9" s="1"/>
      <c r="H9" s="1"/>
      <c r="I9" s="1"/>
    </row>
    <row r="10" ht="18.0" customHeight="1">
      <c r="A10" s="78"/>
      <c r="B10" s="80" t="s">
        <v>79</v>
      </c>
      <c r="C10" s="95">
        <f t="shared" ref="C10:G10" si="1">C6+C8</f>
        <v>62.99997656</v>
      </c>
      <c r="D10" s="81">
        <f t="shared" si="1"/>
        <v>67.99999098</v>
      </c>
      <c r="E10" s="95">
        <f t="shared" si="1"/>
        <v>69.99999912</v>
      </c>
      <c r="F10" s="95">
        <f t="shared" si="1"/>
        <v>73.0000209</v>
      </c>
      <c r="G10" s="95">
        <f t="shared" si="1"/>
        <v>75.00004107</v>
      </c>
      <c r="H10" s="95">
        <f>AVERAGE(C10:G10)</f>
        <v>69.80000572</v>
      </c>
      <c r="I10" s="95">
        <f t="array" ref="I10">qale_Semaglutide_q5-qale_Semaglutide_q1</f>
        <v>12.00006451</v>
      </c>
    </row>
    <row r="11" ht="3.75" customHeight="1">
      <c r="A11" s="1"/>
      <c r="B11" s="1"/>
      <c r="C11" s="1"/>
      <c r="D11" s="70"/>
      <c r="E11" s="1"/>
      <c r="F11" s="1"/>
      <c r="G11" s="1"/>
      <c r="H11" s="1"/>
      <c r="I11" s="1"/>
    </row>
    <row r="12" ht="18.0" customHeight="1">
      <c r="A12" s="1"/>
      <c r="B12" s="84" t="s">
        <v>80</v>
      </c>
      <c r="C12" s="99">
        <f t="array" ref="C12">C8*Q1_P</f>
        <v>-210.5558538</v>
      </c>
      <c r="D12" s="101">
        <f t="array" ref="D12">Semaglutide_net_benefit_q2*Q2_P</f>
        <v>-87.36823785</v>
      </c>
      <c r="E12" s="99">
        <f t="array" ref="E12">Semaglutide_net_benefit_q3*Q3_P</f>
        <v>-8.60321686</v>
      </c>
      <c r="F12" s="99">
        <f t="array" ref="F12">Semaglutide_net_benefit_q4*Q4_P</f>
        <v>199.175413</v>
      </c>
      <c r="G12" s="99">
        <f t="array" ref="G12">Semaglutide_net_benefit_q5*Q5_P</f>
        <v>380.9268579</v>
      </c>
      <c r="H12" s="99">
        <f>SUM(C12:G12)</f>
        <v>273.5749624</v>
      </c>
      <c r="I12" s="1"/>
    </row>
    <row r="13" ht="3.75" customHeight="1">
      <c r="A13" s="102"/>
      <c r="B13" s="103"/>
      <c r="C13" s="104"/>
      <c r="D13" s="105"/>
      <c r="E13" s="104"/>
      <c r="F13" s="104"/>
      <c r="G13" s="104"/>
      <c r="H13" s="104"/>
      <c r="I13" s="102"/>
      <c r="J13" s="102"/>
      <c r="K13" s="102"/>
      <c r="L13" s="102"/>
      <c r="M13" s="102"/>
      <c r="N13" s="102"/>
      <c r="O13" s="102"/>
      <c r="P13" s="102"/>
      <c r="Q13" s="102"/>
      <c r="R13" s="102"/>
      <c r="S13" s="102"/>
      <c r="T13" s="102"/>
      <c r="U13" s="102"/>
      <c r="V13" s="102"/>
      <c r="W13" s="102"/>
      <c r="X13" s="102"/>
      <c r="Y13" s="102"/>
      <c r="Z13" s="102"/>
    </row>
    <row r="14" ht="18.0" customHeight="1">
      <c r="A14" s="1"/>
      <c r="B14" s="106" t="s">
        <v>81</v>
      </c>
      <c r="C14" s="107">
        <f>(C12/ benefit!C6) + 1</f>
        <v>0.9999765599</v>
      </c>
      <c r="D14" s="108">
        <f>(D12/ benefit!D6) + 1</f>
        <v>0.9999909809</v>
      </c>
      <c r="E14" s="107">
        <f>(E12/ benefit!E6) + 1</f>
        <v>0.9999991171</v>
      </c>
      <c r="F14" s="107">
        <f>(F12/ benefit!F6) + 1</f>
        <v>1.000020898</v>
      </c>
      <c r="G14" s="107">
        <f>(G12/ benefit!G6) + 1</f>
        <v>1.000041068</v>
      </c>
      <c r="H14" s="107"/>
      <c r="I14" s="1"/>
      <c r="J14" s="1"/>
      <c r="K14" s="1"/>
      <c r="L14" s="1"/>
      <c r="M14" s="1"/>
      <c r="N14" s="1"/>
      <c r="O14" s="1"/>
      <c r="P14" s="1"/>
      <c r="Q14" s="1"/>
      <c r="R14" s="1"/>
      <c r="S14" s="1"/>
      <c r="T14" s="1"/>
      <c r="U14" s="1"/>
      <c r="V14" s="1"/>
      <c r="W14" s="1"/>
      <c r="X14" s="1"/>
      <c r="Y14" s="1"/>
      <c r="Z14" s="1"/>
    </row>
    <row r="15" ht="16.5" customHeight="1">
      <c r="A15" s="1"/>
      <c r="B15" s="1"/>
      <c r="C15" s="1"/>
      <c r="D15" s="70"/>
      <c r="E15" s="1" t="s">
        <v>83</v>
      </c>
      <c r="F15" s="1"/>
      <c r="G15" s="1"/>
      <c r="H15" s="1"/>
      <c r="I15" s="1"/>
    </row>
    <row r="16" ht="18.0" customHeight="1">
      <c r="A16" s="1"/>
      <c r="B16" s="110" t="s">
        <v>84</v>
      </c>
      <c r="C16" s="13"/>
      <c r="D16" s="13"/>
      <c r="E16" s="10"/>
      <c r="F16" s="1"/>
      <c r="G16" s="1"/>
      <c r="H16" s="1"/>
      <c r="I16" s="1"/>
    </row>
    <row r="17" ht="19.5" customHeight="1">
      <c r="A17" s="1"/>
      <c r="B17" s="14" t="s">
        <v>85</v>
      </c>
      <c r="C17" s="14" t="s">
        <v>86</v>
      </c>
      <c r="D17" s="76" t="s">
        <v>87</v>
      </c>
      <c r="E17" s="14" t="s">
        <v>88</v>
      </c>
      <c r="F17" s="1"/>
      <c r="G17" s="1"/>
      <c r="H17" s="1"/>
      <c r="I17" s="1"/>
    </row>
    <row r="18" ht="27.75" customHeight="1">
      <c r="A18" s="1"/>
      <c r="B18" s="111" t="s">
        <v>89</v>
      </c>
      <c r="C18" s="101" t="s">
        <v>90</v>
      </c>
      <c r="D18" s="101" t="s">
        <v>87</v>
      </c>
      <c r="E18" s="101" t="s">
        <v>91</v>
      </c>
      <c r="F18" s="1"/>
      <c r="G18" s="1"/>
      <c r="H18" s="1"/>
      <c r="I18" s="1"/>
    </row>
    <row r="19" ht="15.75" customHeight="1">
      <c r="A19" s="1"/>
      <c r="B19" s="112">
        <v>0.0</v>
      </c>
      <c r="C19" s="115">
        <f t="array" ref="C19">( SUMPRODUCT(benefit!$C$7:$G$7, $C$6:$G$6^(1-B19)) )^(1/(1-B19))</f>
        <v>69.84574533</v>
      </c>
      <c r="D19" s="115">
        <f t="array" ref="D19">( SUMPRODUCT(benefit!$C$7:$G$7, $C$10:$G$10^(1-B19)) )^(1/(1-B19))</f>
        <v>69.84575112</v>
      </c>
      <c r="E19" s="123" t="str">
        <f t="shared" ref="E19:E35" si="2">IF(C19&gt;D19,"baseline",IF(C19&lt;D19,"semaglutide","indifferent"))</f>
        <v>semaglutide</v>
      </c>
      <c r="F19" s="1"/>
      <c r="G19" s="1"/>
      <c r="H19" s="1"/>
      <c r="I19" s="1"/>
    </row>
    <row r="20" ht="15.75" customHeight="1">
      <c r="A20" s="1"/>
      <c r="B20" s="112">
        <v>0.1</v>
      </c>
      <c r="C20" s="115">
        <f t="array" ref="C20">( SUMPRODUCT(benefit!$C$7:$G$7, $C$6:$G$6^(1-B20)) )^(1/(1-B20))</f>
        <v>69.83356033</v>
      </c>
      <c r="D20" s="115">
        <f t="array" ref="D20">( SUMPRODUCT(benefit!$C$7:$G$7, $C$10:$G$10^(1-B20)) )^(1/(1-B20))</f>
        <v>69.833566</v>
      </c>
      <c r="E20" s="123" t="str">
        <f t="shared" si="2"/>
        <v>semaglutide</v>
      </c>
      <c r="F20" s="1"/>
      <c r="G20" s="1"/>
      <c r="H20" s="1"/>
      <c r="I20" s="1"/>
    </row>
    <row r="21" ht="15.75" customHeight="1">
      <c r="A21" s="1"/>
      <c r="B21" s="112">
        <v>0.2</v>
      </c>
      <c r="C21" s="115">
        <f t="array" ref="C21">( SUMPRODUCT(benefit!$C$7:$G$7, $C$6:$G$6^(1-B21)) )^(1/(1-B21))</f>
        <v>69.82135122</v>
      </c>
      <c r="D21" s="115">
        <f t="array" ref="D21">( SUMPRODUCT(benefit!$C$7:$G$7, $C$10:$G$10^(1-B21)) )^(1/(1-B21))</f>
        <v>69.82135675</v>
      </c>
      <c r="E21" s="123" t="str">
        <f t="shared" si="2"/>
        <v>semaglutide</v>
      </c>
      <c r="F21" s="1"/>
      <c r="G21" s="1"/>
      <c r="H21" s="1"/>
      <c r="I21" s="1"/>
    </row>
    <row r="22" ht="15.75" customHeight="1">
      <c r="A22" s="1"/>
      <c r="B22" s="112">
        <v>0.3</v>
      </c>
      <c r="C22" s="115">
        <f t="array" ref="C22">( SUMPRODUCT(benefit!$C$7:$G$7, $C$6:$G$6^(1-B22)) )^(1/(1-B22))</f>
        <v>69.80911816</v>
      </c>
      <c r="D22" s="115">
        <f t="array" ref="D22">( SUMPRODUCT(benefit!$C$7:$G$7, $C$10:$G$10^(1-B22)) )^(1/(1-B22))</f>
        <v>69.80912358</v>
      </c>
      <c r="E22" s="123" t="str">
        <f t="shared" si="2"/>
        <v>semaglutide</v>
      </c>
      <c r="F22" s="1"/>
      <c r="G22" s="1"/>
      <c r="H22" s="1"/>
      <c r="I22" s="1"/>
    </row>
    <row r="23" ht="15.75" customHeight="1">
      <c r="A23" s="1"/>
      <c r="B23" s="112">
        <v>0.4</v>
      </c>
      <c r="C23" s="115">
        <f t="array" ref="C23">( SUMPRODUCT(benefit!$C$7:$G$7, $C$6:$G$6^(1-B23)) )^(1/(1-B23))</f>
        <v>69.79686137</v>
      </c>
      <c r="D23" s="115">
        <f t="array" ref="D23">( SUMPRODUCT(benefit!$C$7:$G$7, $C$10:$G$10^(1-B23)) )^(1/(1-B23))</f>
        <v>69.79686665</v>
      </c>
      <c r="E23" s="123" t="str">
        <f t="shared" si="2"/>
        <v>semaglutide</v>
      </c>
      <c r="F23" s="1"/>
      <c r="G23" s="1"/>
      <c r="H23" s="1"/>
      <c r="I23" s="1"/>
    </row>
    <row r="24" ht="15.75" customHeight="1">
      <c r="A24" s="1"/>
      <c r="B24" s="136">
        <v>0.5</v>
      </c>
      <c r="C24" s="115">
        <f t="array" ref="C24">( SUMPRODUCT(benefit!$C$7:$G$7, $C$6:$G$6^(1-B24)) )^(1/(1-B24))</f>
        <v>69.78458101</v>
      </c>
      <c r="D24" s="115">
        <f t="array" ref="D24">( SUMPRODUCT(benefit!$C$7:$G$7, $C$10:$G$10^(1-B24)) )^(1/(1-B24))</f>
        <v>69.78458617</v>
      </c>
      <c r="E24" s="123" t="str">
        <f t="shared" si="2"/>
        <v>semaglutide</v>
      </c>
      <c r="F24" s="1"/>
      <c r="G24" s="1"/>
      <c r="H24" s="1"/>
      <c r="I24" s="1"/>
    </row>
    <row r="25" ht="15.75" customHeight="1">
      <c r="A25" s="1"/>
      <c r="B25" s="112">
        <v>0.6</v>
      </c>
      <c r="C25" s="115">
        <f t="array" ref="C25">( SUMPRODUCT(benefit!$C$7:$G$7, $C$6:$G$6^(1-B25)) )^(1/(1-B25))</f>
        <v>69.7722773</v>
      </c>
      <c r="D25" s="115">
        <f t="array" ref="D25">( SUMPRODUCT(benefit!$C$7:$G$7, $C$10:$G$10^(1-B25)) )^(1/(1-B25))</f>
        <v>69.77228233</v>
      </c>
      <c r="E25" s="123" t="str">
        <f t="shared" si="2"/>
        <v>semaglutide</v>
      </c>
      <c r="F25" s="1"/>
      <c r="G25" s="1"/>
      <c r="H25" s="1"/>
      <c r="I25" s="1"/>
    </row>
    <row r="26" ht="15.75" customHeight="1">
      <c r="A26" s="1"/>
      <c r="B26" s="112">
        <v>0.7</v>
      </c>
      <c r="C26" s="115">
        <f t="array" ref="C26">( SUMPRODUCT(benefit!$C$7:$G$7, $C$6:$G$6^(1-B26)) )^(1/(1-B26))</f>
        <v>69.75995042</v>
      </c>
      <c r="D26" s="115">
        <f t="array" ref="D26">( SUMPRODUCT(benefit!$C$7:$G$7, $C$10:$G$10^(1-B26)) )^(1/(1-B26))</f>
        <v>69.75995532</v>
      </c>
      <c r="E26" s="123" t="str">
        <f t="shared" si="2"/>
        <v>semaglutide</v>
      </c>
      <c r="F26" s="1"/>
      <c r="G26" s="1"/>
      <c r="H26" s="1"/>
      <c r="I26" s="1"/>
    </row>
    <row r="27" ht="15.75" customHeight="1">
      <c r="A27" s="1"/>
      <c r="B27" s="112">
        <v>0.8</v>
      </c>
      <c r="C27" s="115">
        <f t="array" ref="C27">( SUMPRODUCT(benefit!$C$7:$G$7, $C$6:$G$6^(1-B27)) )^(1/(1-B27))</f>
        <v>69.74760058</v>
      </c>
      <c r="D27" s="115">
        <f t="array" ref="D27">( SUMPRODUCT(benefit!$C$7:$G$7, $C$10:$G$10^(1-B27)) )^(1/(1-B27))</f>
        <v>69.74760536</v>
      </c>
      <c r="E27" s="123" t="str">
        <f t="shared" si="2"/>
        <v>semaglutide</v>
      </c>
      <c r="F27" s="1"/>
      <c r="G27" s="1"/>
      <c r="H27" s="1"/>
      <c r="I27" s="1"/>
    </row>
    <row r="28" ht="15.75" customHeight="1">
      <c r="A28" s="1"/>
      <c r="B28" s="112">
        <v>0.9</v>
      </c>
      <c r="C28" s="115">
        <f t="array" ref="C28">( SUMPRODUCT(benefit!$C$7:$G$7, $C$6:$G$6^(1-B28)) )^(1/(1-B28))</f>
        <v>69.73522799</v>
      </c>
      <c r="D28" s="115">
        <f t="array" ref="D28">( SUMPRODUCT(benefit!$C$7:$G$7, $C$10:$G$10^(1-B28)) )^(1/(1-B28))</f>
        <v>69.73523263</v>
      </c>
      <c r="E28" s="123" t="str">
        <f t="shared" si="2"/>
        <v>semaglutide</v>
      </c>
      <c r="F28" s="1"/>
      <c r="G28" s="1"/>
      <c r="H28" s="1"/>
      <c r="I28" s="1"/>
    </row>
    <row r="29" ht="15.75" customHeight="1">
      <c r="A29" s="1"/>
      <c r="B29" s="112">
        <v>1.0</v>
      </c>
      <c r="C29" s="115">
        <f t="array" ref="C29">EXP( SUMPRODUCT(benefit!$C$7:$G$7, LN($C$6:$G$6)) )</f>
        <v>69.72283283</v>
      </c>
      <c r="D29" s="115">
        <f t="array" ref="D29">EXP( SUMPRODUCT(benefit!$C$7:$G$7, LN($C$10:$G$10)) )</f>
        <v>69.72283735</v>
      </c>
      <c r="E29" s="123" t="str">
        <f t="shared" si="2"/>
        <v>semaglutide</v>
      </c>
      <c r="F29" s="1"/>
      <c r="G29" s="1"/>
      <c r="H29" s="1"/>
      <c r="I29" s="1"/>
      <c r="J29" s="1"/>
      <c r="K29" s="1"/>
      <c r="L29" s="1"/>
      <c r="M29" s="1"/>
      <c r="N29" s="1"/>
      <c r="O29" s="1"/>
      <c r="P29" s="1"/>
      <c r="Q29" s="1"/>
      <c r="R29" s="1"/>
      <c r="S29" s="1"/>
      <c r="T29" s="1"/>
      <c r="U29" s="1"/>
      <c r="V29" s="1"/>
      <c r="W29" s="1"/>
      <c r="X29" s="1"/>
      <c r="Y29" s="1"/>
      <c r="Z29" s="1"/>
    </row>
    <row r="30" ht="15.75" customHeight="1">
      <c r="A30" s="1"/>
      <c r="B30" s="112">
        <v>1.5</v>
      </c>
      <c r="C30" s="115">
        <f t="array" ref="C30">( SUMPRODUCT(benefit!$C$7:$G$7, $C$6:$G$6^(1-B30)) )^(1/(1-B30))</f>
        <v>69.66052618</v>
      </c>
      <c r="D30" s="115">
        <f t="array" ref="D30">( SUMPRODUCT(benefit!$C$7:$G$7, $C$10:$G$10^(1-B30)) )^(1/(1-B30))</f>
        <v>69.66053004</v>
      </c>
      <c r="E30" s="123" t="str">
        <f t="shared" si="2"/>
        <v>semaglutide</v>
      </c>
      <c r="F30" s="1"/>
      <c r="G30" s="1"/>
      <c r="H30" s="1"/>
      <c r="I30" s="1"/>
      <c r="J30" s="1"/>
      <c r="K30" s="1"/>
      <c r="L30" s="1"/>
      <c r="M30" s="1"/>
      <c r="N30" s="1"/>
      <c r="O30" s="1"/>
      <c r="P30" s="1"/>
      <c r="Q30" s="1"/>
      <c r="R30" s="1"/>
      <c r="S30" s="1"/>
      <c r="T30" s="1"/>
      <c r="U30" s="1"/>
      <c r="V30" s="1"/>
      <c r="W30" s="1"/>
      <c r="X30" s="1"/>
      <c r="Y30" s="1"/>
      <c r="Z30" s="1"/>
    </row>
    <row r="31" ht="15.75" customHeight="1">
      <c r="A31" s="1"/>
      <c r="B31" s="112">
        <v>2.0</v>
      </c>
      <c r="C31" s="115">
        <f t="array" ref="C31">( SUMPRODUCT(benefit!$C$7:$G$7, $C$6:$G$6^(1-B31)) )^(1/(1-B31))</f>
        <v>69.59768825</v>
      </c>
      <c r="D31" s="115">
        <f t="array" ref="D31">( SUMPRODUCT(benefit!$C$7:$G$7, $C$10:$G$10^(1-B31)) )^(1/(1-B31))</f>
        <v>69.59769147</v>
      </c>
      <c r="E31" s="123" t="str">
        <f t="shared" si="2"/>
        <v>semaglutide</v>
      </c>
      <c r="F31" s="1"/>
      <c r="G31" s="1"/>
      <c r="H31" s="1"/>
      <c r="I31" s="1"/>
      <c r="J31" s="1"/>
      <c r="K31" s="1"/>
      <c r="L31" s="1"/>
      <c r="M31" s="1"/>
      <c r="N31" s="1"/>
      <c r="O31" s="1"/>
      <c r="P31" s="1"/>
      <c r="Q31" s="1"/>
      <c r="R31" s="1"/>
      <c r="S31" s="1"/>
      <c r="T31" s="1"/>
      <c r="U31" s="1"/>
      <c r="V31" s="1"/>
      <c r="W31" s="1"/>
      <c r="X31" s="1"/>
      <c r="Y31" s="1"/>
      <c r="Z31" s="1"/>
    </row>
    <row r="32" ht="15.75" customHeight="1">
      <c r="A32" s="1"/>
      <c r="B32" s="112">
        <v>2.5</v>
      </c>
      <c r="C32" s="115">
        <f t="array" ref="C32">( SUMPRODUCT(benefit!$C$7:$G$7, $C$6:$G$6^(1-B32)) )^(1/(1-B32))</f>
        <v>69.53434803</v>
      </c>
      <c r="D32" s="115">
        <f t="array" ref="D32">( SUMPRODUCT(benefit!$C$7:$G$7, $C$10:$G$10^(1-B32)) )^(1/(1-B32))</f>
        <v>69.5343506</v>
      </c>
      <c r="E32" s="123" t="str">
        <f t="shared" si="2"/>
        <v>semaglutide</v>
      </c>
      <c r="F32" s="1"/>
      <c r="G32" s="1"/>
      <c r="H32" s="1"/>
      <c r="I32" s="1"/>
      <c r="J32" s="1"/>
      <c r="K32" s="1"/>
      <c r="L32" s="1"/>
      <c r="M32" s="1"/>
      <c r="N32" s="1"/>
      <c r="O32" s="1"/>
      <c r="P32" s="1"/>
      <c r="Q32" s="1"/>
      <c r="R32" s="1"/>
      <c r="S32" s="1"/>
      <c r="T32" s="1"/>
      <c r="U32" s="1"/>
      <c r="V32" s="1"/>
      <c r="W32" s="1"/>
      <c r="X32" s="1"/>
      <c r="Y32" s="1"/>
      <c r="Z32" s="1"/>
    </row>
    <row r="33" ht="15.75" customHeight="1">
      <c r="A33" s="1"/>
      <c r="B33" s="112">
        <v>3.0</v>
      </c>
      <c r="C33" s="115">
        <f t="array" ref="C33">( SUMPRODUCT(benefit!$C$7:$G$7, $C$6:$G$6^(1-B33)) )^(1/(1-B33))</f>
        <v>69.47053622</v>
      </c>
      <c r="D33" s="115">
        <f t="array" ref="D33">( SUMPRODUCT(benefit!$C$7:$G$7, $C$10:$G$10^(1-B33)) )^(1/(1-B33))</f>
        <v>69.47053814</v>
      </c>
      <c r="E33" s="123" t="str">
        <f t="shared" si="2"/>
        <v>semaglutide</v>
      </c>
      <c r="F33" s="1"/>
      <c r="G33" s="1"/>
      <c r="H33" s="1"/>
      <c r="I33" s="1"/>
      <c r="J33" s="1"/>
      <c r="K33" s="1"/>
      <c r="L33" s="1"/>
      <c r="M33" s="1"/>
      <c r="N33" s="1"/>
      <c r="O33" s="1"/>
      <c r="P33" s="1"/>
      <c r="Q33" s="1"/>
      <c r="R33" s="1"/>
      <c r="S33" s="1"/>
      <c r="T33" s="1"/>
      <c r="U33" s="1"/>
      <c r="V33" s="1"/>
      <c r="W33" s="1"/>
      <c r="X33" s="1"/>
      <c r="Y33" s="1"/>
      <c r="Z33" s="1"/>
    </row>
    <row r="34" ht="15.75" customHeight="1">
      <c r="A34" s="1"/>
      <c r="B34" s="112">
        <v>5.0</v>
      </c>
      <c r="C34" s="115">
        <f t="array" ref="C34">( SUMPRODUCT(benefit!$C$7:$G$7, $C$6:$G$6^(1-B34)) )^(1/(1-B34))</f>
        <v>69.21124354</v>
      </c>
      <c r="D34" s="115">
        <f t="array" ref="D34">( SUMPRODUCT(benefit!$C$7:$G$7, $C$10:$G$10^(1-B34)) )^(1/(1-B34))</f>
        <v>69.21124284</v>
      </c>
      <c r="E34" s="123" t="str">
        <f t="shared" si="2"/>
        <v>baseline</v>
      </c>
      <c r="F34" s="1"/>
      <c r="G34" s="1"/>
      <c r="H34" s="1"/>
      <c r="I34" s="1"/>
      <c r="J34" s="1"/>
      <c r="K34" s="1"/>
      <c r="L34" s="1"/>
      <c r="M34" s="1"/>
      <c r="N34" s="1"/>
      <c r="O34" s="1"/>
      <c r="P34" s="1"/>
      <c r="Q34" s="1"/>
      <c r="R34" s="1"/>
      <c r="S34" s="1"/>
      <c r="T34" s="1"/>
      <c r="U34" s="1"/>
      <c r="V34" s="1"/>
      <c r="W34" s="1"/>
      <c r="X34" s="1"/>
      <c r="Y34" s="1"/>
      <c r="Z34" s="1"/>
    </row>
    <row r="35" ht="15.75" customHeight="1">
      <c r="A35" s="1"/>
      <c r="B35" s="112">
        <v>10.0</v>
      </c>
      <c r="C35" s="115">
        <f t="array" ref="C35">( SUMPRODUCT(benefit!$C$7:$G$7, $C$6:$G$6^(1-B35)) )^(1/(1-B35))</f>
        <v>68.54817393</v>
      </c>
      <c r="D35" s="115">
        <f t="array" ref="D35">( SUMPRODUCT(benefit!$C$7:$G$7, $C$10:$G$10^(1-B35)) )^(1/(1-B35))</f>
        <v>68.54816694</v>
      </c>
      <c r="E35" s="123" t="str">
        <f t="shared" si="2"/>
        <v>baseline</v>
      </c>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70"/>
      <c r="E36" s="1"/>
      <c r="F36" s="1"/>
      <c r="G36" s="1"/>
      <c r="H36" s="1"/>
      <c r="I36" s="1"/>
    </row>
    <row r="37" ht="12.75" customHeight="1">
      <c r="A37" s="1"/>
      <c r="B37" s="1"/>
      <c r="C37" s="1"/>
      <c r="D37" s="70"/>
      <c r="E37" s="1"/>
      <c r="F37" s="1"/>
      <c r="G37" s="1"/>
      <c r="H37" s="1"/>
      <c r="I37" s="1"/>
    </row>
    <row r="38" ht="12.75" customHeight="1">
      <c r="A38" s="1"/>
      <c r="B38" s="1"/>
      <c r="C38" s="1"/>
      <c r="D38" s="70"/>
      <c r="E38" s="1"/>
      <c r="F38" s="1"/>
      <c r="G38" s="1"/>
      <c r="H38" s="1"/>
      <c r="I38" s="1"/>
    </row>
    <row r="39" ht="12.75" customHeight="1">
      <c r="A39" s="1"/>
      <c r="B39" s="1"/>
      <c r="C39" s="1"/>
      <c r="D39" s="70"/>
      <c r="E39" s="1"/>
      <c r="F39" s="1"/>
      <c r="G39" s="1"/>
      <c r="H39" s="1"/>
      <c r="I39" s="1"/>
    </row>
    <row r="40" ht="12.75" customHeight="1">
      <c r="A40" s="1"/>
      <c r="B40" s="1"/>
      <c r="C40" s="1"/>
      <c r="D40" s="70"/>
      <c r="E40" s="1"/>
      <c r="F40" s="1"/>
      <c r="G40" s="1"/>
      <c r="H40" s="1"/>
      <c r="I40" s="1"/>
    </row>
    <row r="41" ht="12.75" customHeight="1">
      <c r="A41" s="1"/>
      <c r="B41" s="1"/>
      <c r="C41" s="1"/>
      <c r="D41" s="70"/>
      <c r="E41" s="1"/>
      <c r="F41" s="1"/>
      <c r="G41" s="1"/>
      <c r="H41" s="1"/>
      <c r="I41" s="1"/>
    </row>
    <row r="42" ht="12.75" customHeight="1">
      <c r="A42" s="1"/>
      <c r="B42" s="1"/>
      <c r="C42" s="1"/>
      <c r="D42" s="70"/>
      <c r="E42" s="1"/>
      <c r="F42" s="1"/>
      <c r="G42" s="1"/>
      <c r="H42" s="1"/>
      <c r="I42" s="1"/>
    </row>
    <row r="43" ht="12.75" customHeight="1">
      <c r="A43" s="1"/>
      <c r="B43" s="1"/>
      <c r="C43" s="1"/>
      <c r="D43" s="70"/>
      <c r="E43" s="1"/>
      <c r="F43" s="1"/>
      <c r="G43" s="1"/>
      <c r="H43" s="1"/>
      <c r="I43" s="1"/>
    </row>
    <row r="44" ht="12.75" customHeight="1">
      <c r="A44" s="1"/>
      <c r="B44" s="1"/>
      <c r="C44" s="1"/>
      <c r="D44" s="70"/>
      <c r="E44" s="1"/>
      <c r="F44" s="1"/>
      <c r="G44" s="1"/>
      <c r="H44" s="1"/>
      <c r="I44" s="1"/>
    </row>
    <row r="45" ht="12.75" customHeight="1">
      <c r="A45" s="1"/>
      <c r="B45" s="1"/>
      <c r="C45" s="1"/>
      <c r="D45" s="70"/>
      <c r="E45" s="1"/>
      <c r="F45" s="1"/>
      <c r="G45" s="1"/>
      <c r="H45" s="1"/>
      <c r="I45" s="1"/>
    </row>
    <row r="46" ht="12.75" customHeight="1">
      <c r="A46" s="1"/>
      <c r="B46" s="1"/>
      <c r="C46" s="1"/>
      <c r="D46" s="70"/>
      <c r="E46" s="1"/>
      <c r="F46" s="1"/>
      <c r="G46" s="1"/>
      <c r="H46" s="1"/>
      <c r="I46" s="1"/>
    </row>
    <row r="47" ht="12.75" customHeight="1">
      <c r="A47" s="1"/>
      <c r="B47" s="1"/>
      <c r="C47" s="1"/>
      <c r="D47" s="70"/>
      <c r="E47" s="1"/>
      <c r="F47" s="1"/>
      <c r="G47" s="1"/>
      <c r="H47" s="1"/>
      <c r="I47" s="1"/>
    </row>
    <row r="48" ht="12.75" customHeight="1">
      <c r="A48" s="1"/>
      <c r="B48" s="1"/>
      <c r="C48" s="1"/>
      <c r="D48" s="70"/>
      <c r="E48" s="1"/>
      <c r="F48" s="1"/>
      <c r="G48" s="1"/>
      <c r="H48" s="1"/>
      <c r="I48" s="1"/>
    </row>
    <row r="49" ht="12.75" customHeight="1">
      <c r="A49" s="1"/>
      <c r="B49" s="1"/>
      <c r="C49" s="1"/>
      <c r="D49" s="70"/>
      <c r="E49" s="1"/>
      <c r="F49" s="1"/>
      <c r="G49" s="1"/>
      <c r="H49" s="1"/>
      <c r="I49" s="1"/>
    </row>
    <row r="50" ht="12.75" customHeight="1">
      <c r="A50" s="1"/>
      <c r="B50" s="1"/>
      <c r="C50" s="1"/>
      <c r="D50" s="70"/>
      <c r="E50" s="1"/>
      <c r="F50" s="1"/>
      <c r="G50" s="1"/>
      <c r="H50" s="1"/>
      <c r="I50" s="1"/>
    </row>
    <row r="51" ht="12.75" customHeight="1">
      <c r="A51" s="1"/>
      <c r="B51" s="1"/>
      <c r="C51" s="1"/>
      <c r="D51" s="70"/>
      <c r="E51" s="1"/>
      <c r="F51" s="1"/>
      <c r="G51" s="1"/>
      <c r="H51" s="1"/>
      <c r="I51" s="1"/>
    </row>
    <row r="52" ht="12.75" customHeight="1">
      <c r="A52" s="1"/>
      <c r="B52" s="1"/>
      <c r="C52" s="1"/>
      <c r="D52" s="70"/>
      <c r="E52" s="1"/>
      <c r="F52" s="1"/>
      <c r="G52" s="1"/>
      <c r="H52" s="1"/>
      <c r="I52" s="1"/>
    </row>
    <row r="53" ht="12.75" customHeight="1">
      <c r="A53" s="1"/>
      <c r="B53" s="1"/>
      <c r="C53" s="1"/>
      <c r="D53" s="70"/>
      <c r="E53" s="1"/>
      <c r="F53" s="1"/>
      <c r="G53" s="1"/>
      <c r="H53" s="1"/>
      <c r="I53" s="1"/>
    </row>
    <row r="54" ht="12.75" customHeight="1">
      <c r="A54" s="1"/>
      <c r="B54" s="1"/>
      <c r="C54" s="1"/>
      <c r="D54" s="70"/>
      <c r="E54" s="1"/>
      <c r="F54" s="1"/>
      <c r="G54" s="1"/>
      <c r="H54" s="1"/>
      <c r="I54" s="1"/>
    </row>
    <row r="55" ht="12.75" customHeight="1">
      <c r="A55" s="1"/>
      <c r="B55" s="1"/>
      <c r="C55" s="1"/>
      <c r="D55" s="70"/>
      <c r="E55" s="1"/>
      <c r="F55" s="1"/>
      <c r="G55" s="1"/>
      <c r="H55" s="1"/>
      <c r="I55" s="1"/>
    </row>
    <row r="56" ht="12.75" customHeight="1">
      <c r="A56" s="1"/>
      <c r="B56" s="1"/>
      <c r="C56" s="1"/>
      <c r="D56" s="70"/>
      <c r="E56" s="1"/>
      <c r="F56" s="1"/>
      <c r="G56" s="1"/>
      <c r="H56" s="1"/>
      <c r="I56" s="1"/>
    </row>
    <row r="57" ht="12.75" customHeight="1">
      <c r="A57" s="1"/>
      <c r="B57" s="1"/>
      <c r="C57" s="1"/>
      <c r="D57" s="70"/>
      <c r="E57" s="1"/>
      <c r="F57" s="1"/>
      <c r="G57" s="1"/>
      <c r="H57" s="1"/>
      <c r="I57" s="1"/>
    </row>
    <row r="58" ht="12.75" customHeight="1">
      <c r="A58" s="1"/>
      <c r="B58" s="1"/>
      <c r="C58" s="1"/>
      <c r="D58" s="70"/>
      <c r="E58" s="1"/>
      <c r="F58" s="1"/>
      <c r="G58" s="1"/>
      <c r="H58" s="1"/>
      <c r="I58" s="1"/>
    </row>
    <row r="59" ht="12.75" customHeight="1">
      <c r="A59" s="1"/>
      <c r="B59" s="1"/>
      <c r="C59" s="1"/>
      <c r="D59" s="70"/>
      <c r="E59" s="1"/>
      <c r="F59" s="1"/>
      <c r="G59" s="1"/>
      <c r="H59" s="1"/>
      <c r="I59" s="1"/>
    </row>
    <row r="60" ht="12.75" customHeight="1">
      <c r="A60" s="1"/>
      <c r="B60" s="1"/>
      <c r="C60" s="1"/>
      <c r="D60" s="70"/>
      <c r="E60" s="1"/>
      <c r="F60" s="1"/>
      <c r="G60" s="1"/>
      <c r="H60" s="1"/>
      <c r="I60" s="1"/>
    </row>
    <row r="61" ht="12.75" customHeight="1">
      <c r="A61" s="1"/>
      <c r="B61" s="1"/>
      <c r="C61" s="1"/>
      <c r="D61" s="70"/>
      <c r="E61" s="1"/>
      <c r="F61" s="1"/>
      <c r="G61" s="1"/>
      <c r="H61" s="1"/>
      <c r="I61" s="1"/>
    </row>
    <row r="62" ht="12.75" customHeight="1">
      <c r="A62" s="1"/>
      <c r="B62" s="1"/>
      <c r="C62" s="1"/>
      <c r="D62" s="70"/>
      <c r="E62" s="1"/>
      <c r="F62" s="1"/>
      <c r="G62" s="1"/>
      <c r="H62" s="1"/>
      <c r="I62" s="1"/>
    </row>
    <row r="63" ht="12.75" customHeight="1">
      <c r="A63" s="1"/>
      <c r="B63" s="1"/>
      <c r="C63" s="1"/>
      <c r="D63" s="70"/>
      <c r="E63" s="1"/>
      <c r="F63" s="1"/>
      <c r="G63" s="1"/>
      <c r="H63" s="1"/>
      <c r="I63" s="1"/>
    </row>
    <row r="64" ht="12.75" customHeight="1">
      <c r="A64" s="1"/>
      <c r="B64" s="1"/>
      <c r="C64" s="1"/>
      <c r="D64" s="70"/>
      <c r="E64" s="1"/>
      <c r="F64" s="1"/>
      <c r="G64" s="1"/>
      <c r="H64" s="1"/>
      <c r="I64" s="1"/>
    </row>
    <row r="65" ht="12.75" customHeight="1">
      <c r="A65" s="1"/>
      <c r="B65" s="1"/>
      <c r="C65" s="1"/>
      <c r="D65" s="70"/>
      <c r="E65" s="1"/>
      <c r="F65" s="1"/>
      <c r="G65" s="1"/>
      <c r="H65" s="1"/>
      <c r="I65" s="1"/>
    </row>
    <row r="66" ht="12.75" customHeight="1">
      <c r="A66" s="1"/>
      <c r="B66" s="1"/>
      <c r="C66" s="1"/>
      <c r="D66" s="70"/>
      <c r="E66" s="1"/>
      <c r="F66" s="1"/>
      <c r="G66" s="1"/>
      <c r="H66" s="1"/>
      <c r="I66" s="1"/>
    </row>
    <row r="67" ht="12.75" customHeight="1">
      <c r="A67" s="1"/>
      <c r="B67" s="1"/>
      <c r="C67" s="1"/>
      <c r="D67" s="70"/>
      <c r="E67" s="1"/>
      <c r="F67" s="1"/>
      <c r="G67" s="1"/>
      <c r="H67" s="1"/>
      <c r="I67" s="1"/>
    </row>
    <row r="68" ht="12.75" customHeight="1">
      <c r="A68" s="1"/>
      <c r="B68" s="1"/>
      <c r="C68" s="1"/>
      <c r="D68" s="70"/>
      <c r="E68" s="1"/>
      <c r="F68" s="1"/>
      <c r="G68" s="1"/>
      <c r="H68" s="1"/>
      <c r="I68" s="1"/>
    </row>
    <row r="69" ht="12.75" customHeight="1">
      <c r="A69" s="1"/>
      <c r="B69" s="1"/>
      <c r="C69" s="1"/>
      <c r="D69" s="70"/>
      <c r="E69" s="1"/>
      <c r="F69" s="1"/>
      <c r="G69" s="1"/>
      <c r="H69" s="1"/>
      <c r="I69" s="1"/>
    </row>
    <row r="70" ht="12.75" customHeight="1">
      <c r="A70" s="1"/>
      <c r="B70" s="1"/>
      <c r="C70" s="1"/>
      <c r="D70" s="70"/>
      <c r="E70" s="1"/>
      <c r="F70" s="1"/>
      <c r="G70" s="1"/>
      <c r="H70" s="1"/>
      <c r="I70" s="1"/>
    </row>
    <row r="71" ht="12.75" customHeight="1">
      <c r="A71" s="1"/>
      <c r="B71" s="1"/>
      <c r="C71" s="1"/>
      <c r="D71" s="70"/>
      <c r="E71" s="1"/>
      <c r="F71" s="1"/>
      <c r="G71" s="1"/>
      <c r="H71" s="1"/>
      <c r="I71" s="1"/>
    </row>
    <row r="72" ht="12.75" customHeight="1">
      <c r="A72" s="1"/>
      <c r="B72" s="1"/>
      <c r="C72" s="1"/>
      <c r="D72" s="70"/>
      <c r="E72" s="1"/>
      <c r="F72" s="1"/>
      <c r="G72" s="1"/>
      <c r="H72" s="1"/>
      <c r="I72" s="1"/>
    </row>
    <row r="73" ht="12.75" customHeight="1">
      <c r="A73" s="1"/>
      <c r="B73" s="1"/>
      <c r="C73" s="1"/>
      <c r="D73" s="70"/>
      <c r="E73" s="1"/>
      <c r="F73" s="1"/>
      <c r="G73" s="1"/>
      <c r="H73" s="1"/>
      <c r="I73" s="1"/>
    </row>
    <row r="74" ht="12.75" customHeight="1">
      <c r="A74" s="1"/>
      <c r="B74" s="1"/>
      <c r="C74" s="1"/>
      <c r="D74" s="70"/>
      <c r="E74" s="1"/>
      <c r="F74" s="1"/>
      <c r="G74" s="1"/>
      <c r="H74" s="1"/>
      <c r="I74" s="1"/>
    </row>
    <row r="75" ht="12.75" customHeight="1">
      <c r="A75" s="1"/>
      <c r="B75" s="1"/>
      <c r="C75" s="1"/>
      <c r="D75" s="70"/>
      <c r="E75" s="1"/>
      <c r="F75" s="1"/>
      <c r="G75" s="1"/>
      <c r="H75" s="1"/>
      <c r="I75" s="1"/>
    </row>
    <row r="76" ht="12.75" customHeight="1">
      <c r="A76" s="1"/>
      <c r="B76" s="1"/>
      <c r="C76" s="1"/>
      <c r="D76" s="70"/>
      <c r="E76" s="1"/>
      <c r="F76" s="1"/>
      <c r="G76" s="1"/>
      <c r="H76" s="1"/>
      <c r="I76" s="1"/>
    </row>
    <row r="77" ht="12.75" customHeight="1">
      <c r="A77" s="1"/>
      <c r="B77" s="1"/>
      <c r="C77" s="1"/>
      <c r="D77" s="70"/>
      <c r="E77" s="1"/>
      <c r="F77" s="1"/>
      <c r="G77" s="1"/>
      <c r="H77" s="1"/>
      <c r="I77" s="1"/>
    </row>
    <row r="78" ht="12.75" customHeight="1">
      <c r="A78" s="1"/>
      <c r="B78" s="1"/>
      <c r="C78" s="1"/>
      <c r="D78" s="70"/>
      <c r="E78" s="1"/>
      <c r="F78" s="1"/>
      <c r="G78" s="1"/>
      <c r="H78" s="1"/>
      <c r="I78" s="1"/>
    </row>
    <row r="79" ht="12.75" customHeight="1">
      <c r="A79" s="1"/>
      <c r="B79" s="1"/>
      <c r="C79" s="1"/>
      <c r="D79" s="70"/>
      <c r="E79" s="1"/>
      <c r="F79" s="1"/>
      <c r="G79" s="1"/>
      <c r="H79" s="1"/>
      <c r="I79" s="1"/>
    </row>
    <row r="80" ht="12.75" customHeight="1">
      <c r="A80" s="1"/>
      <c r="B80" s="1"/>
      <c r="C80" s="1"/>
      <c r="D80" s="70"/>
      <c r="E80" s="1"/>
      <c r="F80" s="1"/>
      <c r="G80" s="1"/>
      <c r="H80" s="1"/>
      <c r="I80" s="1"/>
    </row>
    <row r="81" ht="12.75" customHeight="1">
      <c r="A81" s="1"/>
      <c r="B81" s="1"/>
      <c r="C81" s="1"/>
      <c r="D81" s="70"/>
      <c r="E81" s="1"/>
      <c r="F81" s="1"/>
      <c r="G81" s="1"/>
      <c r="H81" s="1"/>
      <c r="I81" s="1"/>
    </row>
    <row r="82" ht="12.75" customHeight="1">
      <c r="A82" s="1"/>
      <c r="B82" s="1"/>
      <c r="C82" s="1"/>
      <c r="D82" s="70"/>
      <c r="E82" s="1"/>
      <c r="F82" s="1"/>
      <c r="G82" s="1"/>
      <c r="H82" s="1"/>
      <c r="I82" s="1"/>
    </row>
    <row r="83" ht="12.75" customHeight="1">
      <c r="A83" s="1"/>
      <c r="B83" s="1"/>
      <c r="C83" s="1"/>
      <c r="D83" s="70"/>
      <c r="E83" s="1"/>
      <c r="F83" s="1"/>
      <c r="G83" s="1"/>
      <c r="H83" s="1"/>
      <c r="I83" s="1"/>
    </row>
    <row r="84" ht="12.75" customHeight="1">
      <c r="A84" s="1"/>
      <c r="B84" s="1"/>
      <c r="C84" s="1"/>
      <c r="D84" s="70"/>
      <c r="E84" s="1"/>
      <c r="F84" s="1"/>
      <c r="G84" s="1"/>
      <c r="H84" s="1"/>
      <c r="I84" s="1"/>
    </row>
    <row r="85" ht="12.75" customHeight="1">
      <c r="A85" s="1"/>
      <c r="B85" s="1"/>
      <c r="C85" s="1"/>
      <c r="D85" s="70"/>
      <c r="E85" s="1"/>
      <c r="F85" s="1"/>
      <c r="G85" s="1"/>
      <c r="H85" s="1"/>
      <c r="I85" s="1"/>
    </row>
    <row r="86" ht="12.75" customHeight="1">
      <c r="A86" s="1"/>
      <c r="B86" s="1"/>
      <c r="C86" s="1"/>
      <c r="D86" s="70"/>
      <c r="E86" s="1"/>
      <c r="F86" s="1"/>
      <c r="G86" s="1"/>
      <c r="H86" s="1"/>
      <c r="I86" s="1"/>
    </row>
    <row r="87" ht="12.75" customHeight="1">
      <c r="A87" s="1"/>
      <c r="B87" s="1"/>
      <c r="C87" s="1"/>
      <c r="D87" s="70"/>
      <c r="E87" s="1"/>
      <c r="F87" s="1"/>
      <c r="G87" s="1"/>
      <c r="H87" s="1"/>
      <c r="I87" s="1"/>
    </row>
    <row r="88" ht="12.75" customHeight="1">
      <c r="A88" s="1"/>
      <c r="B88" s="1"/>
      <c r="C88" s="1"/>
      <c r="D88" s="70"/>
      <c r="E88" s="1"/>
      <c r="F88" s="1"/>
      <c r="G88" s="1"/>
      <c r="H88" s="1"/>
      <c r="I88" s="1"/>
    </row>
    <row r="89" ht="12.75" customHeight="1">
      <c r="A89" s="1"/>
      <c r="B89" s="1"/>
      <c r="C89" s="1"/>
      <c r="D89" s="70"/>
      <c r="E89" s="1"/>
      <c r="F89" s="1"/>
      <c r="G89" s="1"/>
      <c r="H89" s="1"/>
      <c r="I89" s="1"/>
    </row>
    <row r="90" ht="12.75" customHeight="1">
      <c r="A90" s="1"/>
      <c r="B90" s="1"/>
      <c r="C90" s="1"/>
      <c r="D90" s="70"/>
      <c r="E90" s="1"/>
      <c r="F90" s="1"/>
      <c r="G90" s="1"/>
      <c r="H90" s="1"/>
      <c r="I90" s="1"/>
    </row>
    <row r="91" ht="12.75" customHeight="1">
      <c r="A91" s="1"/>
      <c r="B91" s="1"/>
      <c r="C91" s="1"/>
      <c r="D91" s="70"/>
      <c r="E91" s="1"/>
      <c r="F91" s="1"/>
      <c r="G91" s="1"/>
      <c r="H91" s="1"/>
      <c r="I91" s="1"/>
    </row>
    <row r="92" ht="12.75" customHeight="1">
      <c r="A92" s="1"/>
      <c r="B92" s="1"/>
      <c r="C92" s="1"/>
      <c r="D92" s="70"/>
      <c r="E92" s="1"/>
      <c r="F92" s="1"/>
      <c r="G92" s="1"/>
      <c r="H92" s="1"/>
      <c r="I92" s="1"/>
    </row>
    <row r="93" ht="12.75" customHeight="1">
      <c r="A93" s="1"/>
      <c r="B93" s="1"/>
      <c r="C93" s="1"/>
      <c r="D93" s="70"/>
      <c r="E93" s="1"/>
      <c r="F93" s="1"/>
      <c r="G93" s="1"/>
      <c r="H93" s="1"/>
      <c r="I93" s="1"/>
    </row>
    <row r="94" ht="12.75" customHeight="1">
      <c r="A94" s="1"/>
      <c r="B94" s="1"/>
      <c r="C94" s="1"/>
      <c r="D94" s="70"/>
      <c r="E94" s="1"/>
      <c r="F94" s="1"/>
      <c r="G94" s="1"/>
      <c r="H94" s="1"/>
      <c r="I94" s="1"/>
    </row>
    <row r="95" ht="12.75" customHeight="1">
      <c r="A95" s="1"/>
      <c r="B95" s="1"/>
      <c r="C95" s="1"/>
      <c r="D95" s="70"/>
      <c r="E95" s="1"/>
      <c r="F95" s="1"/>
      <c r="G95" s="1"/>
      <c r="H95" s="1"/>
      <c r="I95" s="1"/>
    </row>
    <row r="96" ht="12.75" customHeight="1">
      <c r="A96" s="1"/>
      <c r="B96" s="1"/>
      <c r="C96" s="1"/>
      <c r="D96" s="70"/>
      <c r="E96" s="1"/>
      <c r="F96" s="1"/>
      <c r="G96" s="1"/>
      <c r="H96" s="1"/>
      <c r="I96" s="1"/>
    </row>
    <row r="97" ht="12.75" customHeight="1">
      <c r="A97" s="1"/>
      <c r="B97" s="1"/>
      <c r="C97" s="1"/>
      <c r="D97" s="70"/>
      <c r="E97" s="1"/>
      <c r="F97" s="1"/>
      <c r="G97" s="1"/>
      <c r="H97" s="1"/>
      <c r="I97" s="1"/>
    </row>
    <row r="98" ht="12.75" customHeight="1">
      <c r="A98" s="1"/>
      <c r="B98" s="1"/>
      <c r="C98" s="1"/>
      <c r="D98" s="70"/>
      <c r="E98" s="1"/>
      <c r="F98" s="1"/>
      <c r="G98" s="1"/>
      <c r="H98" s="1"/>
      <c r="I98" s="1"/>
    </row>
    <row r="99" ht="12.75" customHeight="1">
      <c r="A99" s="1"/>
      <c r="B99" s="1"/>
      <c r="C99" s="1"/>
      <c r="D99" s="70"/>
      <c r="E99" s="1"/>
      <c r="F99" s="1"/>
      <c r="G99" s="1"/>
      <c r="H99" s="1"/>
      <c r="I99" s="1"/>
    </row>
    <row r="100" ht="12.75" customHeight="1">
      <c r="A100" s="1"/>
      <c r="B100" s="1"/>
      <c r="C100" s="1"/>
      <c r="D100" s="70"/>
      <c r="E100" s="1"/>
      <c r="F100" s="1"/>
      <c r="G100" s="1"/>
      <c r="H100" s="1"/>
      <c r="I100" s="1"/>
    </row>
    <row r="101" ht="12.75" customHeight="1">
      <c r="A101" s="1"/>
      <c r="B101" s="1"/>
      <c r="C101" s="1"/>
      <c r="D101" s="70"/>
      <c r="E101" s="1"/>
      <c r="F101" s="1"/>
      <c r="G101" s="1"/>
      <c r="H101" s="1"/>
      <c r="I101" s="1"/>
    </row>
    <row r="102" ht="12.75" customHeight="1">
      <c r="A102" s="1"/>
      <c r="B102" s="1"/>
      <c r="C102" s="1"/>
      <c r="D102" s="70"/>
      <c r="E102" s="1"/>
      <c r="F102" s="1"/>
      <c r="G102" s="1"/>
      <c r="H102" s="1"/>
      <c r="I102" s="1"/>
    </row>
    <row r="103" ht="12.75" customHeight="1">
      <c r="A103" s="1"/>
      <c r="B103" s="1"/>
      <c r="C103" s="1"/>
      <c r="D103" s="70"/>
      <c r="E103" s="1"/>
      <c r="F103" s="1"/>
      <c r="G103" s="1"/>
      <c r="H103" s="1"/>
      <c r="I103" s="1"/>
    </row>
    <row r="104" ht="12.75" customHeight="1">
      <c r="A104" s="1"/>
      <c r="B104" s="1"/>
      <c r="C104" s="1"/>
      <c r="D104" s="70"/>
      <c r="E104" s="1"/>
      <c r="F104" s="1"/>
      <c r="G104" s="1"/>
      <c r="H104" s="1"/>
      <c r="I104" s="1"/>
    </row>
    <row r="105" ht="12.75" customHeight="1">
      <c r="A105" s="1"/>
      <c r="B105" s="1"/>
      <c r="C105" s="1"/>
      <c r="D105" s="70"/>
      <c r="E105" s="1"/>
      <c r="F105" s="1"/>
      <c r="G105" s="1"/>
      <c r="H105" s="1"/>
      <c r="I105" s="1"/>
    </row>
    <row r="106" ht="12.75" customHeight="1">
      <c r="A106" s="1"/>
      <c r="B106" s="1"/>
      <c r="C106" s="1"/>
      <c r="D106" s="70"/>
      <c r="E106" s="1"/>
      <c r="F106" s="1"/>
      <c r="G106" s="1"/>
      <c r="H106" s="1"/>
      <c r="I106" s="1"/>
    </row>
    <row r="107" ht="12.75" customHeight="1">
      <c r="A107" s="1"/>
      <c r="B107" s="1"/>
      <c r="C107" s="1"/>
      <c r="D107" s="70"/>
      <c r="E107" s="1"/>
      <c r="F107" s="1"/>
      <c r="G107" s="1"/>
      <c r="H107" s="1"/>
      <c r="I107" s="1"/>
    </row>
    <row r="108" ht="12.75" customHeight="1">
      <c r="A108" s="1"/>
      <c r="B108" s="1"/>
      <c r="C108" s="1"/>
      <c r="D108" s="70"/>
      <c r="E108" s="1"/>
      <c r="F108" s="1"/>
      <c r="G108" s="1"/>
      <c r="H108" s="1"/>
      <c r="I108" s="1"/>
    </row>
    <row r="109" ht="12.75" customHeight="1">
      <c r="A109" s="1"/>
      <c r="B109" s="1"/>
      <c r="C109" s="1"/>
      <c r="D109" s="70"/>
      <c r="E109" s="1"/>
      <c r="F109" s="1"/>
      <c r="G109" s="1"/>
      <c r="H109" s="1"/>
      <c r="I109" s="1"/>
    </row>
    <row r="110" ht="12.75" customHeight="1">
      <c r="A110" s="1"/>
      <c r="B110" s="1"/>
      <c r="C110" s="1"/>
      <c r="D110" s="70"/>
      <c r="E110" s="1"/>
      <c r="F110" s="1"/>
      <c r="G110" s="1"/>
      <c r="H110" s="1"/>
      <c r="I110" s="1"/>
    </row>
    <row r="111" ht="12.75" customHeight="1">
      <c r="A111" s="1"/>
      <c r="B111" s="1"/>
      <c r="C111" s="1"/>
      <c r="D111" s="70"/>
      <c r="E111" s="1"/>
      <c r="F111" s="1"/>
      <c r="G111" s="1"/>
      <c r="H111" s="1"/>
      <c r="I111" s="1"/>
    </row>
    <row r="112" ht="12.75" customHeight="1">
      <c r="A112" s="1"/>
      <c r="B112" s="1"/>
      <c r="C112" s="1"/>
      <c r="D112" s="70"/>
      <c r="E112" s="1"/>
      <c r="F112" s="1"/>
      <c r="G112" s="1"/>
      <c r="H112" s="1"/>
      <c r="I112" s="1"/>
    </row>
    <row r="113" ht="12.75" customHeight="1">
      <c r="A113" s="1"/>
      <c r="B113" s="1"/>
      <c r="C113" s="1"/>
      <c r="D113" s="70"/>
      <c r="E113" s="1"/>
      <c r="F113" s="1"/>
      <c r="G113" s="1"/>
      <c r="H113" s="1"/>
      <c r="I113" s="1"/>
    </row>
    <row r="114" ht="12.75" customHeight="1">
      <c r="A114" s="1"/>
      <c r="B114" s="1"/>
      <c r="C114" s="1"/>
      <c r="D114" s="70"/>
      <c r="E114" s="1"/>
      <c r="F114" s="1"/>
      <c r="G114" s="1"/>
      <c r="H114" s="1"/>
      <c r="I114" s="1"/>
    </row>
    <row r="115" ht="12.75" customHeight="1">
      <c r="A115" s="1"/>
      <c r="B115" s="1"/>
      <c r="C115" s="1"/>
      <c r="D115" s="70"/>
      <c r="E115" s="1"/>
      <c r="F115" s="1"/>
      <c r="G115" s="1"/>
      <c r="H115" s="1"/>
      <c r="I115" s="1"/>
    </row>
    <row r="116" ht="12.75" customHeight="1">
      <c r="A116" s="1"/>
      <c r="B116" s="1"/>
      <c r="C116" s="1"/>
      <c r="D116" s="70"/>
      <c r="E116" s="1"/>
      <c r="F116" s="1"/>
      <c r="G116" s="1"/>
      <c r="H116" s="1"/>
      <c r="I116" s="1"/>
    </row>
    <row r="117" ht="12.75" customHeight="1">
      <c r="A117" s="1"/>
      <c r="B117" s="1"/>
      <c r="C117" s="1"/>
      <c r="D117" s="70"/>
      <c r="E117" s="1"/>
      <c r="F117" s="1"/>
      <c r="G117" s="1"/>
      <c r="H117" s="1"/>
      <c r="I117" s="1"/>
    </row>
    <row r="118" ht="12.75" customHeight="1">
      <c r="A118" s="1"/>
      <c r="B118" s="1"/>
      <c r="C118" s="1"/>
      <c r="D118" s="70"/>
      <c r="E118" s="1"/>
      <c r="F118" s="1"/>
      <c r="G118" s="1"/>
      <c r="H118" s="1"/>
      <c r="I118" s="1"/>
    </row>
    <row r="119" ht="12.75" customHeight="1">
      <c r="A119" s="1"/>
      <c r="B119" s="1"/>
      <c r="C119" s="1"/>
      <c r="D119" s="70"/>
      <c r="E119" s="1"/>
      <c r="F119" s="1"/>
      <c r="G119" s="1"/>
      <c r="H119" s="1"/>
      <c r="I119" s="1"/>
    </row>
    <row r="120" ht="12.75" customHeight="1">
      <c r="A120" s="1"/>
      <c r="B120" s="1"/>
      <c r="C120" s="1"/>
      <c r="D120" s="70"/>
      <c r="E120" s="1"/>
      <c r="F120" s="1"/>
      <c r="G120" s="1"/>
      <c r="H120" s="1"/>
      <c r="I120" s="1"/>
    </row>
    <row r="121" ht="12.75" customHeight="1">
      <c r="A121" s="1"/>
      <c r="B121" s="1"/>
      <c r="C121" s="1"/>
      <c r="D121" s="70"/>
      <c r="E121" s="1"/>
      <c r="F121" s="1"/>
      <c r="G121" s="1"/>
      <c r="H121" s="1"/>
      <c r="I121" s="1"/>
    </row>
    <row r="122" ht="12.75" customHeight="1">
      <c r="A122" s="1"/>
      <c r="B122" s="1"/>
      <c r="C122" s="1"/>
      <c r="D122" s="70"/>
      <c r="E122" s="1"/>
      <c r="F122" s="1"/>
      <c r="G122" s="1"/>
      <c r="H122" s="1"/>
      <c r="I122" s="1"/>
    </row>
    <row r="123" ht="12.75" customHeight="1">
      <c r="A123" s="1"/>
      <c r="B123" s="1"/>
      <c r="C123" s="1"/>
      <c r="D123" s="70"/>
      <c r="E123" s="1"/>
      <c r="F123" s="1"/>
      <c r="G123" s="1"/>
      <c r="H123" s="1"/>
      <c r="I123" s="1"/>
    </row>
    <row r="124" ht="12.75" customHeight="1">
      <c r="A124" s="1"/>
      <c r="B124" s="1"/>
      <c r="C124" s="1"/>
      <c r="D124" s="70"/>
      <c r="E124" s="1"/>
      <c r="F124" s="1"/>
      <c r="G124" s="1"/>
      <c r="H124" s="1"/>
      <c r="I124" s="1"/>
    </row>
    <row r="125" ht="12.75" customHeight="1">
      <c r="A125" s="1"/>
      <c r="B125" s="1"/>
      <c r="C125" s="1"/>
      <c r="D125" s="70"/>
      <c r="E125" s="1"/>
      <c r="F125" s="1"/>
      <c r="G125" s="1"/>
      <c r="H125" s="1"/>
      <c r="I125" s="1"/>
    </row>
    <row r="126" ht="12.75" customHeight="1">
      <c r="A126" s="1"/>
      <c r="B126" s="1"/>
      <c r="C126" s="1"/>
      <c r="D126" s="70"/>
      <c r="E126" s="1"/>
      <c r="F126" s="1"/>
      <c r="G126" s="1"/>
      <c r="H126" s="1"/>
      <c r="I126" s="1"/>
    </row>
    <row r="127" ht="12.75" customHeight="1">
      <c r="A127" s="1"/>
      <c r="B127" s="1"/>
      <c r="C127" s="1"/>
      <c r="D127" s="70"/>
      <c r="E127" s="1"/>
      <c r="F127" s="1"/>
      <c r="G127" s="1"/>
      <c r="H127" s="1"/>
      <c r="I127" s="1"/>
    </row>
    <row r="128" ht="12.75" customHeight="1">
      <c r="A128" s="1"/>
      <c r="B128" s="1"/>
      <c r="C128" s="1"/>
      <c r="D128" s="70"/>
      <c r="E128" s="1"/>
      <c r="F128" s="1"/>
      <c r="G128" s="1"/>
      <c r="H128" s="1"/>
      <c r="I128" s="1"/>
    </row>
    <row r="129" ht="12.75" customHeight="1">
      <c r="A129" s="1"/>
      <c r="B129" s="1"/>
      <c r="C129" s="1"/>
      <c r="D129" s="70"/>
      <c r="E129" s="1"/>
      <c r="F129" s="1"/>
      <c r="G129" s="1"/>
      <c r="H129" s="1"/>
      <c r="I129" s="1"/>
    </row>
    <row r="130" ht="12.75" customHeight="1">
      <c r="A130" s="1"/>
      <c r="B130" s="1"/>
      <c r="C130" s="1"/>
      <c r="D130" s="70"/>
      <c r="E130" s="1"/>
      <c r="F130" s="1"/>
      <c r="G130" s="1"/>
      <c r="H130" s="1"/>
      <c r="I130" s="1"/>
    </row>
    <row r="131" ht="12.75" customHeight="1">
      <c r="A131" s="1"/>
      <c r="B131" s="1"/>
      <c r="C131" s="1"/>
      <c r="D131" s="70"/>
      <c r="E131" s="1"/>
      <c r="F131" s="1"/>
      <c r="G131" s="1"/>
      <c r="H131" s="1"/>
      <c r="I131" s="1"/>
    </row>
    <row r="132" ht="12.75" customHeight="1">
      <c r="A132" s="1"/>
      <c r="B132" s="1"/>
      <c r="C132" s="1"/>
      <c r="D132" s="70"/>
      <c r="E132" s="1"/>
      <c r="F132" s="1"/>
      <c r="G132" s="1"/>
      <c r="H132" s="1"/>
      <c r="I132" s="1"/>
    </row>
    <row r="133" ht="12.75" customHeight="1">
      <c r="A133" s="1"/>
      <c r="B133" s="1"/>
      <c r="C133" s="1"/>
      <c r="D133" s="70"/>
      <c r="E133" s="1"/>
      <c r="F133" s="1"/>
      <c r="G133" s="1"/>
      <c r="H133" s="1"/>
      <c r="I133" s="1"/>
    </row>
    <row r="134" ht="12.75" customHeight="1">
      <c r="A134" s="1"/>
      <c r="B134" s="1"/>
      <c r="C134" s="1"/>
      <c r="D134" s="70"/>
      <c r="E134" s="1"/>
      <c r="F134" s="1"/>
      <c r="G134" s="1"/>
      <c r="H134" s="1"/>
      <c r="I134" s="1"/>
    </row>
    <row r="135" ht="12.75" customHeight="1">
      <c r="A135" s="1"/>
      <c r="B135" s="1"/>
      <c r="C135" s="1"/>
      <c r="D135" s="70"/>
      <c r="E135" s="1"/>
      <c r="F135" s="1"/>
      <c r="G135" s="1"/>
      <c r="H135" s="1"/>
      <c r="I135" s="1"/>
    </row>
    <row r="136" ht="12.75" customHeight="1">
      <c r="A136" s="1"/>
      <c r="B136" s="1"/>
      <c r="C136" s="1"/>
      <c r="D136" s="70"/>
      <c r="E136" s="1"/>
      <c r="F136" s="1"/>
      <c r="G136" s="1"/>
      <c r="H136" s="1"/>
      <c r="I136" s="1"/>
    </row>
    <row r="137" ht="12.75" customHeight="1">
      <c r="A137" s="1"/>
      <c r="B137" s="1"/>
      <c r="C137" s="1"/>
      <c r="D137" s="70"/>
      <c r="E137" s="1"/>
      <c r="F137" s="1"/>
      <c r="G137" s="1"/>
      <c r="H137" s="1"/>
      <c r="I137" s="1"/>
    </row>
    <row r="138" ht="12.75" customHeight="1">
      <c r="A138" s="1"/>
      <c r="B138" s="1"/>
      <c r="C138" s="1"/>
      <c r="D138" s="70"/>
      <c r="E138" s="1"/>
      <c r="F138" s="1"/>
      <c r="G138" s="1"/>
      <c r="H138" s="1"/>
      <c r="I138" s="1"/>
    </row>
    <row r="139" ht="12.75" customHeight="1">
      <c r="A139" s="1"/>
      <c r="B139" s="1"/>
      <c r="C139" s="1"/>
      <c r="D139" s="70"/>
      <c r="E139" s="1"/>
      <c r="F139" s="1"/>
      <c r="G139" s="1"/>
      <c r="H139" s="1"/>
      <c r="I139" s="1"/>
    </row>
    <row r="140" ht="12.75" customHeight="1">
      <c r="A140" s="1"/>
      <c r="B140" s="1"/>
      <c r="C140" s="1"/>
      <c r="D140" s="70"/>
      <c r="E140" s="1"/>
      <c r="F140" s="1"/>
      <c r="G140" s="1"/>
      <c r="H140" s="1"/>
      <c r="I140" s="1"/>
    </row>
    <row r="141" ht="12.75" customHeight="1">
      <c r="A141" s="1"/>
      <c r="B141" s="1"/>
      <c r="C141" s="1"/>
      <c r="D141" s="70"/>
      <c r="E141" s="1"/>
      <c r="F141" s="1"/>
      <c r="G141" s="1"/>
      <c r="H141" s="1"/>
      <c r="I141" s="1"/>
    </row>
    <row r="142" ht="12.75" customHeight="1">
      <c r="A142" s="1"/>
      <c r="B142" s="1"/>
      <c r="C142" s="1"/>
      <c r="D142" s="70"/>
      <c r="E142" s="1"/>
      <c r="F142" s="1"/>
      <c r="G142" s="1"/>
      <c r="H142" s="1"/>
      <c r="I142" s="1"/>
    </row>
    <row r="143" ht="12.75" customHeight="1">
      <c r="A143" s="1"/>
      <c r="B143" s="1"/>
      <c r="C143" s="1"/>
      <c r="D143" s="70"/>
      <c r="E143" s="1"/>
      <c r="F143" s="1"/>
      <c r="G143" s="1"/>
      <c r="H143" s="1"/>
      <c r="I143" s="1"/>
    </row>
    <row r="144" ht="12.75" customHeight="1">
      <c r="A144" s="1"/>
      <c r="B144" s="1"/>
      <c r="C144" s="1"/>
      <c r="D144" s="70"/>
      <c r="E144" s="1"/>
      <c r="F144" s="1"/>
      <c r="G144" s="1"/>
      <c r="H144" s="1"/>
      <c r="I144" s="1"/>
    </row>
    <row r="145" ht="12.75" customHeight="1">
      <c r="A145" s="1"/>
      <c r="B145" s="1"/>
      <c r="C145" s="1"/>
      <c r="D145" s="70"/>
      <c r="E145" s="1"/>
      <c r="F145" s="1"/>
      <c r="G145" s="1"/>
      <c r="H145" s="1"/>
      <c r="I145" s="1"/>
    </row>
    <row r="146" ht="12.75" customHeight="1">
      <c r="A146" s="1"/>
      <c r="B146" s="1"/>
      <c r="C146" s="1"/>
      <c r="D146" s="70"/>
      <c r="E146" s="1"/>
      <c r="F146" s="1"/>
      <c r="G146" s="1"/>
      <c r="H146" s="1"/>
      <c r="I146" s="1"/>
    </row>
    <row r="147" ht="12.75" customHeight="1">
      <c r="A147" s="1"/>
      <c r="B147" s="1"/>
      <c r="C147" s="1"/>
      <c r="D147" s="70"/>
      <c r="E147" s="1"/>
      <c r="F147" s="1"/>
      <c r="G147" s="1"/>
      <c r="H147" s="1"/>
      <c r="I147" s="1"/>
    </row>
    <row r="148" ht="12.75" customHeight="1">
      <c r="A148" s="1"/>
      <c r="B148" s="1"/>
      <c r="C148" s="1"/>
      <c r="D148" s="70"/>
      <c r="E148" s="1"/>
      <c r="F148" s="1"/>
      <c r="G148" s="1"/>
      <c r="H148" s="1"/>
      <c r="I148" s="1"/>
    </row>
    <row r="149" ht="12.75" customHeight="1">
      <c r="A149" s="1"/>
      <c r="B149" s="1"/>
      <c r="C149" s="1"/>
      <c r="D149" s="70"/>
      <c r="E149" s="1"/>
      <c r="F149" s="1"/>
      <c r="G149" s="1"/>
      <c r="H149" s="1"/>
      <c r="I149" s="1"/>
    </row>
    <row r="150" ht="12.75" customHeight="1">
      <c r="A150" s="1"/>
      <c r="B150" s="1"/>
      <c r="C150" s="1"/>
      <c r="D150" s="70"/>
      <c r="E150" s="1"/>
      <c r="F150" s="1"/>
      <c r="G150" s="1"/>
      <c r="H150" s="1"/>
      <c r="I150" s="1"/>
    </row>
    <row r="151" ht="12.75" customHeight="1">
      <c r="A151" s="1"/>
      <c r="B151" s="1"/>
      <c r="C151" s="1"/>
      <c r="D151" s="70"/>
      <c r="E151" s="1"/>
      <c r="F151" s="1"/>
      <c r="G151" s="1"/>
      <c r="H151" s="1"/>
      <c r="I151" s="1"/>
    </row>
    <row r="152" ht="12.75" customHeight="1">
      <c r="A152" s="1"/>
      <c r="B152" s="1"/>
      <c r="C152" s="1"/>
      <c r="D152" s="70"/>
      <c r="E152" s="1"/>
      <c r="F152" s="1"/>
      <c r="G152" s="1"/>
      <c r="H152" s="1"/>
      <c r="I152" s="1"/>
    </row>
    <row r="153" ht="12.75" customHeight="1">
      <c r="A153" s="1"/>
      <c r="B153" s="1"/>
      <c r="C153" s="1"/>
      <c r="D153" s="70"/>
      <c r="E153" s="1"/>
      <c r="F153" s="1"/>
      <c r="G153" s="1"/>
      <c r="H153" s="1"/>
      <c r="I153" s="1"/>
    </row>
    <row r="154" ht="12.75" customHeight="1">
      <c r="A154" s="1"/>
      <c r="B154" s="1"/>
      <c r="C154" s="1"/>
      <c r="D154" s="70"/>
      <c r="E154" s="1"/>
      <c r="F154" s="1"/>
      <c r="G154" s="1"/>
      <c r="H154" s="1"/>
      <c r="I154" s="1"/>
    </row>
    <row r="155" ht="12.75" customHeight="1">
      <c r="A155" s="1"/>
      <c r="B155" s="1"/>
      <c r="C155" s="1"/>
      <c r="D155" s="70"/>
      <c r="E155" s="1"/>
      <c r="F155" s="1"/>
      <c r="G155" s="1"/>
      <c r="H155" s="1"/>
      <c r="I155" s="1"/>
    </row>
    <row r="156" ht="12.75" customHeight="1">
      <c r="A156" s="1"/>
      <c r="B156" s="1"/>
      <c r="C156" s="1"/>
      <c r="D156" s="70"/>
      <c r="E156" s="1"/>
      <c r="F156" s="1"/>
      <c r="G156" s="1"/>
      <c r="H156" s="1"/>
      <c r="I156" s="1"/>
    </row>
    <row r="157" ht="12.75" customHeight="1">
      <c r="A157" s="1"/>
      <c r="B157" s="1"/>
      <c r="C157" s="1"/>
      <c r="D157" s="70"/>
      <c r="E157" s="1"/>
      <c r="F157" s="1"/>
      <c r="G157" s="1"/>
      <c r="H157" s="1"/>
      <c r="I157" s="1"/>
    </row>
    <row r="158" ht="12.75" customHeight="1">
      <c r="A158" s="1"/>
      <c r="B158" s="1"/>
      <c r="C158" s="1"/>
      <c r="D158" s="70"/>
      <c r="E158" s="1"/>
      <c r="F158" s="1"/>
      <c r="G158" s="1"/>
      <c r="H158" s="1"/>
      <c r="I158" s="1"/>
    </row>
    <row r="159" ht="12.75" customHeight="1">
      <c r="A159" s="1"/>
      <c r="B159" s="1"/>
      <c r="C159" s="1"/>
      <c r="D159" s="70"/>
      <c r="E159" s="1"/>
      <c r="F159" s="1"/>
      <c r="G159" s="1"/>
      <c r="H159" s="1"/>
      <c r="I159" s="1"/>
    </row>
    <row r="160" ht="12.75" customHeight="1">
      <c r="A160" s="1"/>
      <c r="B160" s="1"/>
      <c r="C160" s="1"/>
      <c r="D160" s="70"/>
      <c r="E160" s="1"/>
      <c r="F160" s="1"/>
      <c r="G160" s="1"/>
      <c r="H160" s="1"/>
      <c r="I160" s="1"/>
    </row>
    <row r="161" ht="12.75" customHeight="1">
      <c r="A161" s="1"/>
      <c r="B161" s="1"/>
      <c r="C161" s="1"/>
      <c r="D161" s="70"/>
      <c r="E161" s="1"/>
      <c r="F161" s="1"/>
      <c r="G161" s="1"/>
      <c r="H161" s="1"/>
      <c r="I161" s="1"/>
    </row>
    <row r="162" ht="12.75" customHeight="1">
      <c r="A162" s="1"/>
      <c r="B162" s="1"/>
      <c r="C162" s="1"/>
      <c r="D162" s="70"/>
      <c r="E162" s="1"/>
      <c r="F162" s="1"/>
      <c r="G162" s="1"/>
      <c r="H162" s="1"/>
      <c r="I162" s="1"/>
    </row>
    <row r="163" ht="12.75" customHeight="1">
      <c r="A163" s="1"/>
      <c r="B163" s="1"/>
      <c r="C163" s="1"/>
      <c r="D163" s="70"/>
      <c r="E163" s="1"/>
      <c r="F163" s="1"/>
      <c r="G163" s="1"/>
      <c r="H163" s="1"/>
      <c r="I163" s="1"/>
    </row>
    <row r="164" ht="12.75" customHeight="1">
      <c r="A164" s="1"/>
      <c r="B164" s="1"/>
      <c r="C164" s="1"/>
      <c r="D164" s="70"/>
      <c r="E164" s="1"/>
      <c r="F164" s="1"/>
      <c r="G164" s="1"/>
      <c r="H164" s="1"/>
      <c r="I164" s="1"/>
    </row>
    <row r="165" ht="12.75" customHeight="1">
      <c r="A165" s="1"/>
      <c r="B165" s="1"/>
      <c r="C165" s="1"/>
      <c r="D165" s="70"/>
      <c r="E165" s="1"/>
      <c r="F165" s="1"/>
      <c r="G165" s="1"/>
      <c r="H165" s="1"/>
      <c r="I165" s="1"/>
    </row>
    <row r="166" ht="12.75" customHeight="1">
      <c r="A166" s="1"/>
      <c r="B166" s="1"/>
      <c r="C166" s="1"/>
      <c r="D166" s="70"/>
      <c r="E166" s="1"/>
      <c r="F166" s="1"/>
      <c r="G166" s="1"/>
      <c r="H166" s="1"/>
      <c r="I166" s="1"/>
    </row>
    <row r="167" ht="12.75" customHeight="1">
      <c r="A167" s="1"/>
      <c r="B167" s="1"/>
      <c r="C167" s="1"/>
      <c r="D167" s="70"/>
      <c r="E167" s="1"/>
      <c r="F167" s="1"/>
      <c r="G167" s="1"/>
      <c r="H167" s="1"/>
      <c r="I167" s="1"/>
    </row>
    <row r="168" ht="12.75" customHeight="1">
      <c r="A168" s="1"/>
      <c r="B168" s="1"/>
      <c r="C168" s="1"/>
      <c r="D168" s="70"/>
      <c r="E168" s="1"/>
      <c r="F168" s="1"/>
      <c r="G168" s="1"/>
      <c r="H168" s="1"/>
      <c r="I168" s="1"/>
    </row>
    <row r="169" ht="12.75" customHeight="1">
      <c r="A169" s="1"/>
      <c r="B169" s="1"/>
      <c r="C169" s="1"/>
      <c r="D169" s="70"/>
      <c r="E169" s="1"/>
      <c r="F169" s="1"/>
      <c r="G169" s="1"/>
      <c r="H169" s="1"/>
      <c r="I169" s="1"/>
    </row>
    <row r="170" ht="12.75" customHeight="1">
      <c r="A170" s="1"/>
      <c r="B170" s="1"/>
      <c r="C170" s="1"/>
      <c r="D170" s="70"/>
      <c r="E170" s="1"/>
      <c r="F170" s="1"/>
      <c r="G170" s="1"/>
      <c r="H170" s="1"/>
      <c r="I170" s="1"/>
    </row>
    <row r="171" ht="12.75" customHeight="1">
      <c r="A171" s="1"/>
      <c r="B171" s="1"/>
      <c r="C171" s="1"/>
      <c r="D171" s="70"/>
      <c r="E171" s="1"/>
      <c r="F171" s="1"/>
      <c r="G171" s="1"/>
      <c r="H171" s="1"/>
      <c r="I171" s="1"/>
    </row>
    <row r="172" ht="12.75" customHeight="1">
      <c r="A172" s="1"/>
      <c r="B172" s="1"/>
      <c r="C172" s="1"/>
      <c r="D172" s="70"/>
      <c r="E172" s="1"/>
      <c r="F172" s="1"/>
      <c r="G172" s="1"/>
      <c r="H172" s="1"/>
      <c r="I172" s="1"/>
    </row>
    <row r="173" ht="12.75" customHeight="1">
      <c r="A173" s="1"/>
      <c r="B173" s="1"/>
      <c r="C173" s="1"/>
      <c r="D173" s="70"/>
      <c r="E173" s="1"/>
      <c r="F173" s="1"/>
      <c r="G173" s="1"/>
      <c r="H173" s="1"/>
      <c r="I173" s="1"/>
    </row>
    <row r="174" ht="12.75" customHeight="1">
      <c r="A174" s="1"/>
      <c r="B174" s="1"/>
      <c r="C174" s="1"/>
      <c r="D174" s="70"/>
      <c r="E174" s="1"/>
      <c r="F174" s="1"/>
      <c r="G174" s="1"/>
      <c r="H174" s="1"/>
      <c r="I174" s="1"/>
    </row>
    <row r="175" ht="12.75" customHeight="1">
      <c r="A175" s="1"/>
      <c r="B175" s="1"/>
      <c r="C175" s="1"/>
      <c r="D175" s="70"/>
      <c r="E175" s="1"/>
      <c r="F175" s="1"/>
      <c r="G175" s="1"/>
      <c r="H175" s="1"/>
      <c r="I175" s="1"/>
    </row>
    <row r="176" ht="12.75" customHeight="1">
      <c r="A176" s="1"/>
      <c r="B176" s="1"/>
      <c r="C176" s="1"/>
      <c r="D176" s="70"/>
      <c r="E176" s="1"/>
      <c r="F176" s="1"/>
      <c r="G176" s="1"/>
      <c r="H176" s="1"/>
      <c r="I176" s="1"/>
    </row>
    <row r="177" ht="12.75" customHeight="1">
      <c r="A177" s="1"/>
      <c r="B177" s="1"/>
      <c r="C177" s="1"/>
      <c r="D177" s="70"/>
      <c r="E177" s="1"/>
      <c r="F177" s="1"/>
      <c r="G177" s="1"/>
      <c r="H177" s="1"/>
      <c r="I177" s="1"/>
    </row>
    <row r="178" ht="12.75" customHeight="1">
      <c r="A178" s="1"/>
      <c r="B178" s="1"/>
      <c r="C178" s="1"/>
      <c r="D178" s="70"/>
      <c r="E178" s="1"/>
      <c r="F178" s="1"/>
      <c r="G178" s="1"/>
      <c r="H178" s="1"/>
      <c r="I178" s="1"/>
    </row>
    <row r="179" ht="12.75" customHeight="1">
      <c r="A179" s="1"/>
      <c r="B179" s="1"/>
      <c r="C179" s="1"/>
      <c r="D179" s="70"/>
      <c r="E179" s="1"/>
      <c r="F179" s="1"/>
      <c r="G179" s="1"/>
      <c r="H179" s="1"/>
      <c r="I179" s="1"/>
    </row>
    <row r="180" ht="12.75" customHeight="1">
      <c r="A180" s="1"/>
      <c r="B180" s="1"/>
      <c r="C180" s="1"/>
      <c r="D180" s="70"/>
      <c r="E180" s="1"/>
      <c r="F180" s="1"/>
      <c r="G180" s="1"/>
      <c r="H180" s="1"/>
      <c r="I180" s="1"/>
    </row>
    <row r="181" ht="12.75" customHeight="1">
      <c r="A181" s="1"/>
      <c r="B181" s="1"/>
      <c r="C181" s="1"/>
      <c r="D181" s="70"/>
      <c r="E181" s="1"/>
      <c r="F181" s="1"/>
      <c r="G181" s="1"/>
      <c r="H181" s="1"/>
      <c r="I181" s="1"/>
    </row>
    <row r="182" ht="12.75" customHeight="1">
      <c r="A182" s="1"/>
      <c r="B182" s="1"/>
      <c r="C182" s="1"/>
      <c r="D182" s="70"/>
      <c r="E182" s="1"/>
      <c r="F182" s="1"/>
      <c r="G182" s="1"/>
      <c r="H182" s="1"/>
      <c r="I182" s="1"/>
    </row>
    <row r="183" ht="12.75" customHeight="1">
      <c r="A183" s="1"/>
      <c r="B183" s="1"/>
      <c r="C183" s="1"/>
      <c r="D183" s="70"/>
      <c r="E183" s="1"/>
      <c r="F183" s="1"/>
      <c r="G183" s="1"/>
      <c r="H183" s="1"/>
      <c r="I183" s="1"/>
    </row>
    <row r="184" ht="12.75" customHeight="1">
      <c r="A184" s="1"/>
      <c r="B184" s="1"/>
      <c r="C184" s="1"/>
      <c r="D184" s="70"/>
      <c r="E184" s="1"/>
      <c r="F184" s="1"/>
      <c r="G184" s="1"/>
      <c r="H184" s="1"/>
      <c r="I184" s="1"/>
    </row>
    <row r="185" ht="12.75" customHeight="1">
      <c r="A185" s="1"/>
      <c r="B185" s="1"/>
      <c r="C185" s="1"/>
      <c r="D185" s="70"/>
      <c r="E185" s="1"/>
      <c r="F185" s="1"/>
      <c r="G185" s="1"/>
      <c r="H185" s="1"/>
      <c r="I185" s="1"/>
    </row>
    <row r="186" ht="12.75" customHeight="1">
      <c r="A186" s="1"/>
      <c r="B186" s="1"/>
      <c r="C186" s="1"/>
      <c r="D186" s="70"/>
      <c r="E186" s="1"/>
      <c r="F186" s="1"/>
      <c r="G186" s="1"/>
      <c r="H186" s="1"/>
      <c r="I186" s="1"/>
    </row>
    <row r="187" ht="12.75" customHeight="1">
      <c r="A187" s="1"/>
      <c r="B187" s="1"/>
      <c r="C187" s="1"/>
      <c r="D187" s="70"/>
      <c r="E187" s="1"/>
      <c r="F187" s="1"/>
      <c r="G187" s="1"/>
      <c r="H187" s="1"/>
      <c r="I187" s="1"/>
    </row>
    <row r="188" ht="12.75" customHeight="1">
      <c r="A188" s="1"/>
      <c r="B188" s="1"/>
      <c r="C188" s="1"/>
      <c r="D188" s="70"/>
      <c r="E188" s="1"/>
      <c r="F188" s="1"/>
      <c r="G188" s="1"/>
      <c r="H188" s="1"/>
      <c r="I188" s="1"/>
    </row>
    <row r="189" ht="12.75" customHeight="1">
      <c r="A189" s="1"/>
      <c r="B189" s="1"/>
      <c r="C189" s="1"/>
      <c r="D189" s="70"/>
      <c r="E189" s="1"/>
      <c r="F189" s="1"/>
      <c r="G189" s="1"/>
      <c r="H189" s="1"/>
      <c r="I189" s="1"/>
    </row>
    <row r="190" ht="12.75" customHeight="1">
      <c r="A190" s="1"/>
      <c r="B190" s="1"/>
      <c r="C190" s="1"/>
      <c r="D190" s="70"/>
      <c r="E190" s="1"/>
      <c r="F190" s="1"/>
      <c r="G190" s="1"/>
      <c r="H190" s="1"/>
      <c r="I190" s="1"/>
    </row>
    <row r="191" ht="12.75" customHeight="1">
      <c r="A191" s="1"/>
      <c r="B191" s="1"/>
      <c r="C191" s="1"/>
      <c r="D191" s="70"/>
      <c r="E191" s="1"/>
      <c r="F191" s="1"/>
      <c r="G191" s="1"/>
      <c r="H191" s="1"/>
      <c r="I191" s="1"/>
    </row>
    <row r="192" ht="12.75" customHeight="1">
      <c r="A192" s="1"/>
      <c r="B192" s="1"/>
      <c r="C192" s="1"/>
      <c r="D192" s="70"/>
      <c r="E192" s="1"/>
      <c r="F192" s="1"/>
      <c r="G192" s="1"/>
      <c r="H192" s="1"/>
      <c r="I192" s="1"/>
    </row>
    <row r="193" ht="12.75" customHeight="1">
      <c r="A193" s="1"/>
      <c r="B193" s="1"/>
      <c r="C193" s="1"/>
      <c r="D193" s="70"/>
      <c r="E193" s="1"/>
      <c r="F193" s="1"/>
      <c r="G193" s="1"/>
      <c r="H193" s="1"/>
      <c r="I193" s="1"/>
    </row>
    <row r="194" ht="12.75" customHeight="1">
      <c r="A194" s="1"/>
      <c r="B194" s="1"/>
      <c r="C194" s="1"/>
      <c r="D194" s="70"/>
      <c r="E194" s="1"/>
      <c r="F194" s="1"/>
      <c r="G194" s="1"/>
      <c r="H194" s="1"/>
      <c r="I194" s="1"/>
    </row>
    <row r="195" ht="12.75" customHeight="1">
      <c r="A195" s="1"/>
      <c r="B195" s="1"/>
      <c r="C195" s="1"/>
      <c r="D195" s="70"/>
      <c r="E195" s="1"/>
      <c r="F195" s="1"/>
      <c r="G195" s="1"/>
      <c r="H195" s="1"/>
      <c r="I195" s="1"/>
    </row>
    <row r="196" ht="12.75" customHeight="1">
      <c r="A196" s="1"/>
      <c r="B196" s="1"/>
      <c r="C196" s="1"/>
      <c r="D196" s="70"/>
      <c r="E196" s="1"/>
      <c r="F196" s="1"/>
      <c r="G196" s="1"/>
      <c r="H196" s="1"/>
      <c r="I196" s="1"/>
    </row>
    <row r="197" ht="12.75" customHeight="1">
      <c r="A197" s="1"/>
      <c r="B197" s="1"/>
      <c r="C197" s="1"/>
      <c r="D197" s="70"/>
      <c r="E197" s="1"/>
      <c r="F197" s="1"/>
      <c r="G197" s="1"/>
      <c r="H197" s="1"/>
      <c r="I197" s="1"/>
    </row>
    <row r="198" ht="12.75" customHeight="1">
      <c r="A198" s="1"/>
      <c r="B198" s="1"/>
      <c r="C198" s="1"/>
      <c r="D198" s="70"/>
      <c r="E198" s="1"/>
      <c r="F198" s="1"/>
      <c r="G198" s="1"/>
      <c r="H198" s="1"/>
      <c r="I198" s="1"/>
    </row>
    <row r="199" ht="12.75" customHeight="1">
      <c r="A199" s="1"/>
      <c r="B199" s="1"/>
      <c r="C199" s="1"/>
      <c r="D199" s="70"/>
      <c r="E199" s="1"/>
      <c r="F199" s="1"/>
      <c r="G199" s="1"/>
      <c r="H199" s="1"/>
      <c r="I199" s="1"/>
    </row>
    <row r="200" ht="12.75" customHeight="1">
      <c r="A200" s="1"/>
      <c r="B200" s="1"/>
      <c r="C200" s="1"/>
      <c r="D200" s="70"/>
      <c r="E200" s="1"/>
      <c r="F200" s="1"/>
      <c r="G200" s="1"/>
      <c r="H200" s="1"/>
      <c r="I200" s="1"/>
    </row>
    <row r="201" ht="12.75" customHeight="1">
      <c r="A201" s="1"/>
      <c r="B201" s="1"/>
      <c r="C201" s="1"/>
      <c r="D201" s="70"/>
      <c r="E201" s="1"/>
      <c r="F201" s="1"/>
      <c r="G201" s="1"/>
      <c r="H201" s="1"/>
      <c r="I201" s="1"/>
    </row>
    <row r="202" ht="12.75" customHeight="1">
      <c r="A202" s="1"/>
      <c r="B202" s="1"/>
      <c r="C202" s="1"/>
      <c r="D202" s="70"/>
      <c r="E202" s="1"/>
      <c r="F202" s="1"/>
      <c r="G202" s="1"/>
      <c r="H202" s="1"/>
      <c r="I202" s="1"/>
    </row>
    <row r="203" ht="12.75" customHeight="1">
      <c r="A203" s="1"/>
      <c r="B203" s="1"/>
      <c r="C203" s="1"/>
      <c r="D203" s="70"/>
      <c r="E203" s="1"/>
      <c r="F203" s="1"/>
      <c r="G203" s="1"/>
      <c r="H203" s="1"/>
      <c r="I203" s="1"/>
    </row>
    <row r="204" ht="12.75" customHeight="1">
      <c r="A204" s="1"/>
      <c r="B204" s="1"/>
      <c r="C204" s="1"/>
      <c r="D204" s="70"/>
      <c r="E204" s="1"/>
      <c r="F204" s="1"/>
      <c r="G204" s="1"/>
      <c r="H204" s="1"/>
      <c r="I204" s="1"/>
    </row>
    <row r="205" ht="12.75" customHeight="1">
      <c r="A205" s="1"/>
      <c r="B205" s="1"/>
      <c r="C205" s="1"/>
      <c r="D205" s="70"/>
      <c r="E205" s="1"/>
      <c r="F205" s="1"/>
      <c r="G205" s="1"/>
      <c r="H205" s="1"/>
      <c r="I205" s="1"/>
    </row>
    <row r="206" ht="12.75" customHeight="1">
      <c r="A206" s="1"/>
      <c r="B206" s="1"/>
      <c r="C206" s="1"/>
      <c r="D206" s="70"/>
      <c r="E206" s="1"/>
      <c r="F206" s="1"/>
      <c r="G206" s="1"/>
      <c r="H206" s="1"/>
      <c r="I206" s="1"/>
    </row>
    <row r="207" ht="12.75" customHeight="1">
      <c r="A207" s="1"/>
      <c r="B207" s="1"/>
      <c r="C207" s="1"/>
      <c r="D207" s="70"/>
      <c r="E207" s="1"/>
      <c r="F207" s="1"/>
      <c r="G207" s="1"/>
      <c r="H207" s="1"/>
      <c r="I207" s="1"/>
    </row>
    <row r="208" ht="12.75" customHeight="1">
      <c r="A208" s="1"/>
      <c r="B208" s="1"/>
      <c r="C208" s="1"/>
      <c r="D208" s="70"/>
      <c r="E208" s="1"/>
      <c r="F208" s="1"/>
      <c r="G208" s="1"/>
      <c r="H208" s="1"/>
      <c r="I208" s="1"/>
    </row>
    <row r="209" ht="12.75" customHeight="1">
      <c r="A209" s="1"/>
      <c r="B209" s="1"/>
      <c r="C209" s="1"/>
      <c r="D209" s="70"/>
      <c r="E209" s="1"/>
      <c r="F209" s="1"/>
      <c r="G209" s="1"/>
      <c r="H209" s="1"/>
      <c r="I209" s="1"/>
    </row>
    <row r="210" ht="12.75" customHeight="1">
      <c r="A210" s="1"/>
      <c r="B210" s="1"/>
      <c r="C210" s="1"/>
      <c r="D210" s="70"/>
      <c r="E210" s="1"/>
      <c r="F210" s="1"/>
      <c r="G210" s="1"/>
      <c r="H210" s="1"/>
      <c r="I210" s="1"/>
    </row>
    <row r="211" ht="12.75" customHeight="1">
      <c r="A211" s="1"/>
      <c r="B211" s="1"/>
      <c r="C211" s="1"/>
      <c r="D211" s="70"/>
      <c r="E211" s="1"/>
      <c r="F211" s="1"/>
      <c r="G211" s="1"/>
      <c r="H211" s="1"/>
      <c r="I211" s="1"/>
    </row>
    <row r="212" ht="12.75" customHeight="1">
      <c r="A212" s="1"/>
      <c r="B212" s="1"/>
      <c r="C212" s="1"/>
      <c r="D212" s="70"/>
      <c r="E212" s="1"/>
      <c r="F212" s="1"/>
      <c r="G212" s="1"/>
      <c r="H212" s="1"/>
      <c r="I212" s="1"/>
    </row>
    <row r="213" ht="12.75" customHeight="1">
      <c r="A213" s="1"/>
      <c r="B213" s="1"/>
      <c r="C213" s="1"/>
      <c r="D213" s="70"/>
      <c r="E213" s="1"/>
      <c r="F213" s="1"/>
      <c r="G213" s="1"/>
      <c r="H213" s="1"/>
      <c r="I213" s="1"/>
    </row>
    <row r="214" ht="12.75" customHeight="1">
      <c r="A214" s="1"/>
      <c r="B214" s="1"/>
      <c r="C214" s="1"/>
      <c r="D214" s="70"/>
      <c r="E214" s="1"/>
      <c r="F214" s="1"/>
      <c r="G214" s="1"/>
      <c r="H214" s="1"/>
      <c r="I214" s="1"/>
    </row>
    <row r="215" ht="12.75" customHeight="1">
      <c r="A215" s="1"/>
      <c r="B215" s="1"/>
      <c r="C215" s="1"/>
      <c r="D215" s="70"/>
      <c r="E215" s="1"/>
      <c r="F215" s="1"/>
      <c r="G215" s="1"/>
      <c r="H215" s="1"/>
      <c r="I215" s="1"/>
    </row>
    <row r="216" ht="12.75" customHeight="1">
      <c r="A216" s="1"/>
      <c r="B216" s="1"/>
      <c r="C216" s="1"/>
      <c r="D216" s="70"/>
      <c r="E216" s="1"/>
      <c r="F216" s="1"/>
      <c r="G216" s="1"/>
      <c r="H216" s="1"/>
      <c r="I216" s="1"/>
    </row>
    <row r="217" ht="12.75" customHeight="1">
      <c r="A217" s="1"/>
      <c r="B217" s="1"/>
      <c r="C217" s="1"/>
      <c r="D217" s="70"/>
      <c r="E217" s="1"/>
      <c r="F217" s="1"/>
      <c r="G217" s="1"/>
      <c r="H217" s="1"/>
      <c r="I217" s="1"/>
    </row>
    <row r="218" ht="12.75" customHeight="1">
      <c r="A218" s="1"/>
      <c r="B218" s="1"/>
      <c r="C218" s="1"/>
      <c r="D218" s="70"/>
      <c r="E218" s="1"/>
      <c r="F218" s="1"/>
      <c r="G218" s="1"/>
      <c r="H218" s="1"/>
      <c r="I218" s="1"/>
    </row>
    <row r="219" ht="12.75" customHeight="1">
      <c r="A219" s="1"/>
      <c r="B219" s="1"/>
      <c r="C219" s="1"/>
      <c r="D219" s="70"/>
      <c r="E219" s="1"/>
      <c r="F219" s="1"/>
      <c r="G219" s="1"/>
      <c r="H219" s="1"/>
      <c r="I219" s="1"/>
    </row>
    <row r="220" ht="12.75" customHeight="1">
      <c r="A220" s="1"/>
      <c r="B220" s="1"/>
      <c r="C220" s="1"/>
      <c r="D220" s="70"/>
      <c r="E220" s="1"/>
      <c r="F220" s="1"/>
      <c r="G220" s="1"/>
      <c r="H220" s="1"/>
      <c r="I220" s="1"/>
    </row>
    <row r="221" ht="12.75" customHeight="1">
      <c r="A221" s="1"/>
      <c r="B221" s="1"/>
      <c r="C221" s="1"/>
      <c r="D221" s="70"/>
      <c r="E221" s="1"/>
      <c r="F221" s="1"/>
      <c r="G221" s="1"/>
      <c r="H221" s="1"/>
      <c r="I221" s="1"/>
    </row>
    <row r="222" ht="12.75" customHeight="1">
      <c r="A222" s="1"/>
      <c r="B222" s="1"/>
      <c r="C222" s="1"/>
      <c r="D222" s="70"/>
      <c r="E222" s="1"/>
      <c r="F222" s="1"/>
      <c r="G222" s="1"/>
      <c r="H222" s="1"/>
      <c r="I222" s="1"/>
    </row>
    <row r="223" ht="12.75" customHeight="1">
      <c r="A223" s="1"/>
      <c r="B223" s="1"/>
      <c r="C223" s="1"/>
      <c r="D223" s="70"/>
      <c r="E223" s="1"/>
      <c r="F223" s="1"/>
      <c r="G223" s="1"/>
      <c r="H223" s="1"/>
      <c r="I223" s="1"/>
    </row>
    <row r="224" ht="12.75" customHeight="1">
      <c r="A224" s="1"/>
      <c r="B224" s="1"/>
      <c r="C224" s="1"/>
      <c r="D224" s="70"/>
      <c r="E224" s="1"/>
      <c r="F224" s="1"/>
      <c r="G224" s="1"/>
      <c r="H224" s="1"/>
      <c r="I224" s="1"/>
    </row>
    <row r="225" ht="12.75" customHeight="1">
      <c r="A225" s="1"/>
      <c r="B225" s="1"/>
      <c r="C225" s="1"/>
      <c r="D225" s="70"/>
      <c r="E225" s="1"/>
      <c r="F225" s="1"/>
      <c r="G225" s="1"/>
      <c r="H225" s="1"/>
      <c r="I225" s="1"/>
    </row>
    <row r="226" ht="12.75" customHeight="1">
      <c r="A226" s="1"/>
      <c r="B226" s="1"/>
      <c r="C226" s="1"/>
      <c r="D226" s="70"/>
      <c r="E226" s="1"/>
      <c r="F226" s="1"/>
      <c r="G226" s="1"/>
      <c r="H226" s="1"/>
      <c r="I226" s="1"/>
    </row>
    <row r="227" ht="12.75" customHeight="1">
      <c r="A227" s="1"/>
      <c r="B227" s="1"/>
      <c r="C227" s="1"/>
      <c r="D227" s="70"/>
      <c r="E227" s="1"/>
      <c r="F227" s="1"/>
      <c r="G227" s="1"/>
      <c r="H227" s="1"/>
      <c r="I227" s="1"/>
    </row>
    <row r="228" ht="12.75" customHeight="1">
      <c r="A228" s="1"/>
      <c r="B228" s="1"/>
      <c r="C228" s="1"/>
      <c r="D228" s="70"/>
      <c r="E228" s="1"/>
      <c r="F228" s="1"/>
      <c r="G228" s="1"/>
      <c r="H228" s="1"/>
      <c r="I228" s="1"/>
    </row>
    <row r="229" ht="12.75" customHeight="1">
      <c r="A229" s="1"/>
      <c r="B229" s="1"/>
      <c r="C229" s="1"/>
      <c r="D229" s="70"/>
      <c r="E229" s="1"/>
      <c r="F229" s="1"/>
      <c r="G229" s="1"/>
      <c r="H229" s="1"/>
      <c r="I229" s="1"/>
    </row>
    <row r="230" ht="12.75" customHeight="1">
      <c r="A230" s="1"/>
      <c r="B230" s="1"/>
      <c r="C230" s="1"/>
      <c r="D230" s="70"/>
      <c r="E230" s="1"/>
      <c r="F230" s="1"/>
      <c r="G230" s="1"/>
      <c r="H230" s="1"/>
      <c r="I230" s="1"/>
    </row>
    <row r="231" ht="12.75" customHeight="1">
      <c r="A231" s="1"/>
      <c r="B231" s="1"/>
      <c r="C231" s="1"/>
      <c r="D231" s="70"/>
      <c r="E231" s="1"/>
      <c r="F231" s="1"/>
      <c r="G231" s="1"/>
      <c r="H231" s="1"/>
      <c r="I231" s="1"/>
    </row>
    <row r="232" ht="12.75" customHeight="1">
      <c r="A232" s="1"/>
      <c r="B232" s="1"/>
      <c r="C232" s="1"/>
      <c r="D232" s="70"/>
      <c r="E232" s="1"/>
      <c r="F232" s="1"/>
      <c r="G232" s="1"/>
      <c r="H232" s="1"/>
      <c r="I232" s="1"/>
    </row>
    <row r="233" ht="12.75" customHeight="1">
      <c r="A233" s="1"/>
      <c r="B233" s="1"/>
      <c r="C233" s="1"/>
      <c r="D233" s="70"/>
      <c r="E233" s="1"/>
      <c r="F233" s="1"/>
      <c r="G233" s="1"/>
      <c r="H233" s="1"/>
      <c r="I233" s="1"/>
    </row>
    <row r="234" ht="12.75" customHeight="1">
      <c r="A234" s="1"/>
      <c r="B234" s="1"/>
      <c r="C234" s="1"/>
      <c r="D234" s="70"/>
      <c r="E234" s="1"/>
      <c r="F234" s="1"/>
      <c r="G234" s="1"/>
      <c r="H234" s="1"/>
      <c r="I234" s="1"/>
    </row>
    <row r="235" ht="12.75" customHeight="1">
      <c r="A235" s="1"/>
      <c r="B235" s="1"/>
      <c r="C235" s="1"/>
      <c r="D235" s="70"/>
      <c r="E235" s="1"/>
      <c r="F235" s="1"/>
      <c r="G235" s="1"/>
      <c r="H235" s="1"/>
      <c r="I235" s="1"/>
    </row>
    <row r="236" ht="15.75" customHeight="1">
      <c r="D236" s="70"/>
    </row>
    <row r="237" ht="15.75" customHeight="1">
      <c r="D237" s="70"/>
    </row>
    <row r="238" ht="15.75" customHeight="1">
      <c r="D238" s="70"/>
    </row>
    <row r="239" ht="15.75" customHeight="1">
      <c r="D239" s="70"/>
    </row>
    <row r="240" ht="15.75" customHeight="1">
      <c r="D240" s="70"/>
    </row>
    <row r="241" ht="15.75" customHeight="1">
      <c r="D241" s="70"/>
    </row>
    <row r="242" ht="15.75" customHeight="1">
      <c r="D242" s="70"/>
    </row>
    <row r="243" ht="15.75" customHeight="1">
      <c r="D243" s="70"/>
    </row>
    <row r="244" ht="15.75" customHeight="1">
      <c r="D244" s="70"/>
    </row>
    <row r="245" ht="15.75" customHeight="1">
      <c r="D245" s="70"/>
    </row>
    <row r="246" ht="15.75" customHeight="1">
      <c r="D246" s="70"/>
    </row>
    <row r="247" ht="15.75" customHeight="1">
      <c r="D247" s="70"/>
    </row>
    <row r="248" ht="15.75" customHeight="1">
      <c r="D248" s="70"/>
    </row>
    <row r="249" ht="15.75" customHeight="1">
      <c r="D249" s="70"/>
    </row>
    <row r="250" ht="15.75" customHeight="1">
      <c r="D250" s="70"/>
    </row>
    <row r="251" ht="15.75" customHeight="1">
      <c r="D251" s="70"/>
    </row>
    <row r="252" ht="15.75" customHeight="1">
      <c r="D252" s="70"/>
    </row>
    <row r="253" ht="15.75" customHeight="1">
      <c r="D253" s="70"/>
    </row>
    <row r="254" ht="15.75" customHeight="1">
      <c r="D254" s="70"/>
    </row>
    <row r="255" ht="15.75" customHeight="1">
      <c r="D255" s="70"/>
    </row>
    <row r="256" ht="15.75" customHeight="1">
      <c r="D256" s="70"/>
    </row>
    <row r="257" ht="15.75" customHeight="1">
      <c r="D257" s="70"/>
    </row>
    <row r="258" ht="15.75" customHeight="1">
      <c r="D258" s="70"/>
    </row>
    <row r="259" ht="15.75" customHeight="1">
      <c r="D259" s="70"/>
    </row>
    <row r="260" ht="15.75" customHeight="1">
      <c r="D260" s="70"/>
    </row>
    <row r="261" ht="15.75" customHeight="1">
      <c r="D261" s="70"/>
    </row>
    <row r="262" ht="15.75" customHeight="1">
      <c r="D262" s="70"/>
    </row>
    <row r="263" ht="15.75" customHeight="1">
      <c r="D263" s="70"/>
    </row>
    <row r="264" ht="15.75" customHeight="1">
      <c r="D264" s="70"/>
    </row>
    <row r="265" ht="15.75" customHeight="1">
      <c r="D265" s="70"/>
    </row>
    <row r="266" ht="15.75" customHeight="1">
      <c r="D266" s="70"/>
    </row>
    <row r="267" ht="15.75" customHeight="1">
      <c r="D267" s="70"/>
    </row>
    <row r="268" ht="15.75" customHeight="1">
      <c r="D268" s="70"/>
    </row>
    <row r="269" ht="15.75" customHeight="1">
      <c r="D269" s="70"/>
    </row>
    <row r="270" ht="15.75" customHeight="1">
      <c r="D270" s="70"/>
    </row>
    <row r="271" ht="15.75" customHeight="1">
      <c r="D271" s="70"/>
    </row>
    <row r="272" ht="15.75" customHeight="1">
      <c r="D272" s="70"/>
    </row>
    <row r="273" ht="15.75" customHeight="1">
      <c r="D273" s="70"/>
    </row>
    <row r="274" ht="15.75" customHeight="1">
      <c r="D274" s="70"/>
    </row>
    <row r="275" ht="15.75" customHeight="1">
      <c r="D275" s="70"/>
    </row>
    <row r="276" ht="15.75" customHeight="1">
      <c r="D276" s="70"/>
    </row>
    <row r="277" ht="15.75" customHeight="1">
      <c r="D277" s="70"/>
    </row>
    <row r="278" ht="15.75" customHeight="1">
      <c r="D278" s="70"/>
    </row>
    <row r="279" ht="15.75" customHeight="1">
      <c r="D279" s="70"/>
    </row>
    <row r="280" ht="15.75" customHeight="1">
      <c r="D280" s="70"/>
    </row>
    <row r="281" ht="15.75" customHeight="1">
      <c r="D281" s="70"/>
    </row>
    <row r="282" ht="15.75" customHeight="1">
      <c r="D282" s="70"/>
    </row>
    <row r="283" ht="15.75" customHeight="1">
      <c r="D283" s="70"/>
    </row>
    <row r="284" ht="15.75" customHeight="1">
      <c r="D284" s="70"/>
    </row>
    <row r="285" ht="15.75" customHeight="1">
      <c r="D285" s="70"/>
    </row>
    <row r="286" ht="15.75" customHeight="1">
      <c r="D286" s="70"/>
    </row>
    <row r="287" ht="15.75" customHeight="1">
      <c r="D287" s="70"/>
    </row>
    <row r="288" ht="15.75" customHeight="1">
      <c r="D288" s="70"/>
    </row>
    <row r="289" ht="15.75" customHeight="1">
      <c r="D289" s="70"/>
    </row>
    <row r="290" ht="15.75" customHeight="1">
      <c r="D290" s="70"/>
    </row>
    <row r="291" ht="15.75" customHeight="1">
      <c r="D291" s="70"/>
    </row>
    <row r="292" ht="15.75" customHeight="1">
      <c r="D292" s="70"/>
    </row>
    <row r="293" ht="15.75" customHeight="1">
      <c r="D293" s="70"/>
    </row>
    <row r="294" ht="15.75" customHeight="1">
      <c r="D294" s="70"/>
    </row>
    <row r="295" ht="15.75" customHeight="1">
      <c r="D295" s="70"/>
    </row>
    <row r="296" ht="15.75" customHeight="1">
      <c r="D296" s="70"/>
    </row>
    <row r="297" ht="15.75" customHeight="1">
      <c r="D297" s="70"/>
    </row>
    <row r="298" ht="15.75" customHeight="1">
      <c r="D298" s="70"/>
    </row>
    <row r="299" ht="15.75" customHeight="1">
      <c r="D299" s="70"/>
    </row>
    <row r="300" ht="15.75" customHeight="1">
      <c r="D300" s="70"/>
    </row>
    <row r="301" ht="15.75" customHeight="1">
      <c r="D301" s="70"/>
    </row>
    <row r="302" ht="15.75" customHeight="1">
      <c r="D302" s="70"/>
    </row>
    <row r="303" ht="15.75" customHeight="1">
      <c r="D303" s="70"/>
    </row>
    <row r="304" ht="15.75" customHeight="1">
      <c r="D304" s="70"/>
    </row>
    <row r="305" ht="15.75" customHeight="1">
      <c r="D305" s="70"/>
    </row>
    <row r="306" ht="15.75" customHeight="1">
      <c r="D306" s="70"/>
    </row>
    <row r="307" ht="15.75" customHeight="1">
      <c r="D307" s="70"/>
    </row>
    <row r="308" ht="15.75" customHeight="1">
      <c r="D308" s="70"/>
    </row>
    <row r="309" ht="15.75" customHeight="1">
      <c r="D309" s="70"/>
    </row>
    <row r="310" ht="15.75" customHeight="1">
      <c r="D310" s="70"/>
    </row>
    <row r="311" ht="15.75" customHeight="1">
      <c r="D311" s="70"/>
    </row>
    <row r="312" ht="15.75" customHeight="1">
      <c r="D312" s="70"/>
    </row>
    <row r="313" ht="15.75" customHeight="1">
      <c r="D313" s="70"/>
    </row>
    <row r="314" ht="15.75" customHeight="1">
      <c r="D314" s="70"/>
    </row>
    <row r="315" ht="15.75" customHeight="1">
      <c r="D315" s="70"/>
    </row>
    <row r="316" ht="15.75" customHeight="1">
      <c r="D316" s="70"/>
    </row>
    <row r="317" ht="15.75" customHeight="1">
      <c r="D317" s="70"/>
    </row>
    <row r="318" ht="15.75" customHeight="1">
      <c r="D318" s="70"/>
    </row>
    <row r="319" ht="15.75" customHeight="1">
      <c r="D319" s="70"/>
    </row>
    <row r="320" ht="15.75" customHeight="1">
      <c r="D320" s="70"/>
    </row>
    <row r="321" ht="15.75" customHeight="1">
      <c r="D321" s="70"/>
    </row>
    <row r="322" ht="15.75" customHeight="1">
      <c r="D322" s="70"/>
    </row>
    <row r="323" ht="15.75" customHeight="1">
      <c r="D323" s="70"/>
    </row>
    <row r="324" ht="15.75" customHeight="1">
      <c r="D324" s="70"/>
    </row>
    <row r="325" ht="15.75" customHeight="1">
      <c r="D325" s="70"/>
    </row>
    <row r="326" ht="15.75" customHeight="1">
      <c r="D326" s="70"/>
    </row>
    <row r="327" ht="15.75" customHeight="1">
      <c r="D327" s="70"/>
    </row>
    <row r="328" ht="15.75" customHeight="1">
      <c r="D328" s="70"/>
    </row>
    <row r="329" ht="15.75" customHeight="1">
      <c r="D329" s="70"/>
    </row>
    <row r="330" ht="15.75" customHeight="1">
      <c r="D330" s="70"/>
    </row>
    <row r="331" ht="15.75" customHeight="1">
      <c r="D331" s="70"/>
    </row>
    <row r="332" ht="15.75" customHeight="1">
      <c r="D332" s="70"/>
    </row>
    <row r="333" ht="15.75" customHeight="1">
      <c r="D333" s="70"/>
    </row>
    <row r="334" ht="15.75" customHeight="1">
      <c r="D334" s="70"/>
    </row>
    <row r="335" ht="15.75" customHeight="1">
      <c r="D335" s="70"/>
    </row>
    <row r="336" ht="15.75" customHeight="1">
      <c r="D336" s="70"/>
    </row>
    <row r="337" ht="15.75" customHeight="1">
      <c r="D337" s="70"/>
    </row>
    <row r="338" ht="15.75" customHeight="1">
      <c r="D338" s="70"/>
    </row>
    <row r="339" ht="15.75" customHeight="1">
      <c r="D339" s="70"/>
    </row>
    <row r="340" ht="15.75" customHeight="1">
      <c r="D340" s="70"/>
    </row>
    <row r="341" ht="15.75" customHeight="1">
      <c r="D341" s="70"/>
    </row>
    <row r="342" ht="15.75" customHeight="1">
      <c r="D342" s="70"/>
    </row>
    <row r="343" ht="15.75" customHeight="1">
      <c r="D343" s="70"/>
    </row>
    <row r="344" ht="15.75" customHeight="1">
      <c r="D344" s="70"/>
    </row>
    <row r="345" ht="15.75" customHeight="1">
      <c r="D345" s="70"/>
    </row>
    <row r="346" ht="15.75" customHeight="1">
      <c r="D346" s="70"/>
    </row>
    <row r="347" ht="15.75" customHeight="1">
      <c r="D347" s="70"/>
    </row>
    <row r="348" ht="15.75" customHeight="1">
      <c r="D348" s="70"/>
    </row>
    <row r="349" ht="15.75" customHeight="1">
      <c r="D349" s="70"/>
    </row>
    <row r="350" ht="15.75" customHeight="1">
      <c r="D350" s="70"/>
    </row>
    <row r="351" ht="15.75" customHeight="1">
      <c r="D351" s="70"/>
    </row>
    <row r="352" ht="15.75" customHeight="1">
      <c r="D352" s="70"/>
    </row>
    <row r="353" ht="15.75" customHeight="1">
      <c r="D353" s="70"/>
    </row>
    <row r="354" ht="15.75" customHeight="1">
      <c r="D354" s="70"/>
    </row>
    <row r="355" ht="15.75" customHeight="1">
      <c r="D355" s="70"/>
    </row>
    <row r="356" ht="15.75" customHeight="1">
      <c r="D356" s="70"/>
    </row>
    <row r="357" ht="15.75" customHeight="1">
      <c r="D357" s="70"/>
    </row>
    <row r="358" ht="15.75" customHeight="1">
      <c r="D358" s="70"/>
    </row>
    <row r="359" ht="15.75" customHeight="1">
      <c r="D359" s="70"/>
    </row>
    <row r="360" ht="15.75" customHeight="1">
      <c r="D360" s="70"/>
    </row>
    <row r="361" ht="15.75" customHeight="1">
      <c r="D361" s="70"/>
    </row>
    <row r="362" ht="15.75" customHeight="1">
      <c r="D362" s="70"/>
    </row>
    <row r="363" ht="15.75" customHeight="1">
      <c r="D363" s="70"/>
    </row>
    <row r="364" ht="15.75" customHeight="1">
      <c r="D364" s="70"/>
    </row>
    <row r="365" ht="15.75" customHeight="1">
      <c r="D365" s="70"/>
    </row>
    <row r="366" ht="15.75" customHeight="1">
      <c r="D366" s="70"/>
    </row>
    <row r="367" ht="15.75" customHeight="1">
      <c r="D367" s="70"/>
    </row>
    <row r="368" ht="15.75" customHeight="1">
      <c r="D368" s="70"/>
    </row>
    <row r="369" ht="15.75" customHeight="1">
      <c r="D369" s="70"/>
    </row>
    <row r="370" ht="15.75" customHeight="1">
      <c r="D370" s="70"/>
    </row>
    <row r="371" ht="15.75" customHeight="1">
      <c r="D371" s="70"/>
    </row>
    <row r="372" ht="15.75" customHeight="1">
      <c r="D372" s="70"/>
    </row>
    <row r="373" ht="15.75" customHeight="1">
      <c r="D373" s="70"/>
    </row>
    <row r="374" ht="15.75" customHeight="1">
      <c r="D374" s="70"/>
    </row>
    <row r="375" ht="15.75" customHeight="1">
      <c r="D375" s="70"/>
    </row>
    <row r="376" ht="15.75" customHeight="1">
      <c r="D376" s="70"/>
    </row>
    <row r="377" ht="15.75" customHeight="1">
      <c r="D377" s="70"/>
    </row>
    <row r="378" ht="15.75" customHeight="1">
      <c r="D378" s="70"/>
    </row>
    <row r="379" ht="15.75" customHeight="1">
      <c r="D379" s="70"/>
    </row>
    <row r="380" ht="15.75" customHeight="1">
      <c r="D380" s="70"/>
    </row>
    <row r="381" ht="15.75" customHeight="1">
      <c r="D381" s="70"/>
    </row>
    <row r="382" ht="15.75" customHeight="1">
      <c r="D382" s="70"/>
    </row>
    <row r="383" ht="15.75" customHeight="1">
      <c r="D383" s="70"/>
    </row>
    <row r="384" ht="15.75" customHeight="1">
      <c r="D384" s="70"/>
    </row>
    <row r="385" ht="15.75" customHeight="1">
      <c r="D385" s="70"/>
    </row>
    <row r="386" ht="15.75" customHeight="1">
      <c r="D386" s="70"/>
    </row>
    <row r="387" ht="15.75" customHeight="1">
      <c r="D387" s="70"/>
    </row>
    <row r="388" ht="15.75" customHeight="1">
      <c r="D388" s="70"/>
    </row>
    <row r="389" ht="15.75" customHeight="1">
      <c r="D389" s="70"/>
    </row>
    <row r="390" ht="15.75" customHeight="1">
      <c r="D390" s="70"/>
    </row>
    <row r="391" ht="15.75" customHeight="1">
      <c r="D391" s="70"/>
    </row>
    <row r="392" ht="15.75" customHeight="1">
      <c r="D392" s="70"/>
    </row>
    <row r="393" ht="15.75" customHeight="1">
      <c r="D393" s="70"/>
    </row>
    <row r="394" ht="15.75" customHeight="1">
      <c r="D394" s="70"/>
    </row>
    <row r="395" ht="15.75" customHeight="1">
      <c r="D395" s="70"/>
    </row>
    <row r="396" ht="15.75" customHeight="1">
      <c r="D396" s="70"/>
    </row>
    <row r="397" ht="15.75" customHeight="1">
      <c r="D397" s="70"/>
    </row>
    <row r="398" ht="15.75" customHeight="1">
      <c r="D398" s="70"/>
    </row>
    <row r="399" ht="15.75" customHeight="1">
      <c r="D399" s="70"/>
    </row>
    <row r="400" ht="15.75" customHeight="1">
      <c r="D400" s="70"/>
    </row>
    <row r="401" ht="15.75" customHeight="1">
      <c r="D401" s="70"/>
    </row>
    <row r="402" ht="15.75" customHeight="1">
      <c r="D402" s="70"/>
    </row>
    <row r="403" ht="15.75" customHeight="1">
      <c r="D403" s="70"/>
    </row>
    <row r="404" ht="15.75" customHeight="1">
      <c r="D404" s="70"/>
    </row>
    <row r="405" ht="15.75" customHeight="1">
      <c r="D405" s="70"/>
    </row>
    <row r="406" ht="15.75" customHeight="1">
      <c r="D406" s="70"/>
    </row>
    <row r="407" ht="15.75" customHeight="1">
      <c r="D407" s="70"/>
    </row>
    <row r="408" ht="15.75" customHeight="1">
      <c r="D408" s="70"/>
    </row>
    <row r="409" ht="15.75" customHeight="1">
      <c r="D409" s="70"/>
    </row>
    <row r="410" ht="15.75" customHeight="1">
      <c r="D410" s="70"/>
    </row>
    <row r="411" ht="15.75" customHeight="1">
      <c r="D411" s="70"/>
    </row>
    <row r="412" ht="15.75" customHeight="1">
      <c r="D412" s="70"/>
    </row>
    <row r="413" ht="15.75" customHeight="1">
      <c r="D413" s="70"/>
    </row>
    <row r="414" ht="15.75" customHeight="1">
      <c r="D414" s="70"/>
    </row>
    <row r="415" ht="15.75" customHeight="1">
      <c r="D415" s="70"/>
    </row>
    <row r="416" ht="15.75" customHeight="1">
      <c r="D416" s="70"/>
    </row>
    <row r="417" ht="15.75" customHeight="1">
      <c r="D417" s="70"/>
    </row>
    <row r="418" ht="15.75" customHeight="1">
      <c r="D418" s="70"/>
    </row>
    <row r="419" ht="15.75" customHeight="1">
      <c r="D419" s="70"/>
    </row>
    <row r="420" ht="15.75" customHeight="1">
      <c r="D420" s="70"/>
    </row>
    <row r="421" ht="15.75" customHeight="1">
      <c r="D421" s="70"/>
    </row>
    <row r="422" ht="15.75" customHeight="1">
      <c r="D422" s="70"/>
    </row>
    <row r="423" ht="15.75" customHeight="1">
      <c r="D423" s="70"/>
    </row>
    <row r="424" ht="15.75" customHeight="1">
      <c r="D424" s="70"/>
    </row>
    <row r="425" ht="15.75" customHeight="1">
      <c r="D425" s="70"/>
    </row>
    <row r="426" ht="15.75" customHeight="1">
      <c r="D426" s="70"/>
    </row>
    <row r="427" ht="15.75" customHeight="1">
      <c r="D427" s="70"/>
    </row>
    <row r="428" ht="15.75" customHeight="1">
      <c r="D428" s="70"/>
    </row>
    <row r="429" ht="15.75" customHeight="1">
      <c r="D429" s="70"/>
    </row>
    <row r="430" ht="15.75" customHeight="1">
      <c r="D430" s="70"/>
    </row>
    <row r="431" ht="15.75" customHeight="1">
      <c r="D431" s="70"/>
    </row>
    <row r="432" ht="15.75" customHeight="1">
      <c r="D432" s="70"/>
    </row>
    <row r="433" ht="15.75" customHeight="1">
      <c r="D433" s="70"/>
    </row>
    <row r="434" ht="15.75" customHeight="1">
      <c r="D434" s="70"/>
    </row>
    <row r="435" ht="15.75" customHeight="1">
      <c r="D435" s="70"/>
    </row>
    <row r="436" ht="15.75" customHeight="1">
      <c r="D436" s="70"/>
    </row>
    <row r="437" ht="15.75" customHeight="1">
      <c r="D437" s="70"/>
    </row>
    <row r="438" ht="15.75" customHeight="1">
      <c r="D438" s="70"/>
    </row>
    <row r="439" ht="15.75" customHeight="1">
      <c r="D439" s="70"/>
    </row>
    <row r="440" ht="15.75" customHeight="1">
      <c r="D440" s="70"/>
    </row>
    <row r="441" ht="15.75" customHeight="1">
      <c r="D441" s="70"/>
    </row>
    <row r="442" ht="15.75" customHeight="1">
      <c r="D442" s="70"/>
    </row>
    <row r="443" ht="15.75" customHeight="1">
      <c r="D443" s="70"/>
    </row>
    <row r="444" ht="15.75" customHeight="1">
      <c r="D444" s="70"/>
    </row>
    <row r="445" ht="15.75" customHeight="1">
      <c r="D445" s="70"/>
    </row>
    <row r="446" ht="15.75" customHeight="1">
      <c r="D446" s="70"/>
    </row>
    <row r="447" ht="15.75" customHeight="1">
      <c r="D447" s="70"/>
    </row>
    <row r="448" ht="15.75" customHeight="1">
      <c r="D448" s="70"/>
    </row>
    <row r="449" ht="15.75" customHeight="1">
      <c r="D449" s="70"/>
    </row>
    <row r="450" ht="15.75" customHeight="1">
      <c r="D450" s="70"/>
    </row>
    <row r="451" ht="15.75" customHeight="1">
      <c r="D451" s="70"/>
    </row>
    <row r="452" ht="15.75" customHeight="1">
      <c r="D452" s="70"/>
    </row>
    <row r="453" ht="15.75" customHeight="1">
      <c r="D453" s="70"/>
    </row>
    <row r="454" ht="15.75" customHeight="1">
      <c r="D454" s="70"/>
    </row>
    <row r="455" ht="15.75" customHeight="1">
      <c r="D455" s="70"/>
    </row>
    <row r="456" ht="15.75" customHeight="1">
      <c r="D456" s="70"/>
    </row>
    <row r="457" ht="15.75" customHeight="1">
      <c r="D457" s="70"/>
    </row>
    <row r="458" ht="15.75" customHeight="1">
      <c r="D458" s="70"/>
    </row>
    <row r="459" ht="15.75" customHeight="1">
      <c r="D459" s="70"/>
    </row>
    <row r="460" ht="15.75" customHeight="1">
      <c r="D460" s="70"/>
    </row>
    <row r="461" ht="15.75" customHeight="1">
      <c r="D461" s="70"/>
    </row>
    <row r="462" ht="15.75" customHeight="1">
      <c r="D462" s="70"/>
    </row>
    <row r="463" ht="15.75" customHeight="1">
      <c r="D463" s="70"/>
    </row>
    <row r="464" ht="15.75" customHeight="1">
      <c r="D464" s="70"/>
    </row>
    <row r="465" ht="15.75" customHeight="1">
      <c r="D465" s="70"/>
    </row>
    <row r="466" ht="15.75" customHeight="1">
      <c r="D466" s="70"/>
    </row>
    <row r="467" ht="15.75" customHeight="1">
      <c r="D467" s="70"/>
    </row>
    <row r="468" ht="15.75" customHeight="1">
      <c r="D468" s="70"/>
    </row>
    <row r="469" ht="15.75" customHeight="1">
      <c r="D469" s="70"/>
    </row>
    <row r="470" ht="15.75" customHeight="1">
      <c r="D470" s="70"/>
    </row>
    <row r="471" ht="15.75" customHeight="1">
      <c r="D471" s="70"/>
    </row>
    <row r="472" ht="15.75" customHeight="1">
      <c r="D472" s="70"/>
    </row>
    <row r="473" ht="15.75" customHeight="1">
      <c r="D473" s="70"/>
    </row>
    <row r="474" ht="15.75" customHeight="1">
      <c r="D474" s="70"/>
    </row>
    <row r="475" ht="15.75" customHeight="1">
      <c r="D475" s="70"/>
    </row>
    <row r="476" ht="15.75" customHeight="1">
      <c r="D476" s="70"/>
    </row>
    <row r="477" ht="15.75" customHeight="1">
      <c r="D477" s="70"/>
    </row>
    <row r="478" ht="15.75" customHeight="1">
      <c r="D478" s="70"/>
    </row>
    <row r="479" ht="15.75" customHeight="1">
      <c r="D479" s="70"/>
    </row>
    <row r="480" ht="15.75" customHeight="1">
      <c r="D480" s="70"/>
    </row>
    <row r="481" ht="15.75" customHeight="1">
      <c r="D481" s="70"/>
    </row>
    <row r="482" ht="15.75" customHeight="1">
      <c r="D482" s="70"/>
    </row>
    <row r="483" ht="15.75" customHeight="1">
      <c r="D483" s="70"/>
    </row>
    <row r="484" ht="15.75" customHeight="1">
      <c r="D484" s="70"/>
    </row>
    <row r="485" ht="15.75" customHeight="1">
      <c r="D485" s="70"/>
    </row>
    <row r="486" ht="15.75" customHeight="1">
      <c r="D486" s="70"/>
    </row>
    <row r="487" ht="15.75" customHeight="1">
      <c r="D487" s="70"/>
    </row>
    <row r="488" ht="15.75" customHeight="1">
      <c r="D488" s="70"/>
    </row>
    <row r="489" ht="15.75" customHeight="1">
      <c r="D489" s="70"/>
    </row>
    <row r="490" ht="15.75" customHeight="1">
      <c r="D490" s="70"/>
    </row>
    <row r="491" ht="15.75" customHeight="1">
      <c r="D491" s="70"/>
    </row>
    <row r="492" ht="15.75" customHeight="1">
      <c r="D492" s="70"/>
    </row>
    <row r="493" ht="15.75" customHeight="1">
      <c r="D493" s="70"/>
    </row>
    <row r="494" ht="15.75" customHeight="1">
      <c r="D494" s="70"/>
    </row>
    <row r="495" ht="15.75" customHeight="1">
      <c r="D495" s="70"/>
    </row>
    <row r="496" ht="15.75" customHeight="1">
      <c r="D496" s="70"/>
    </row>
    <row r="497" ht="15.75" customHeight="1">
      <c r="D497" s="70"/>
    </row>
    <row r="498" ht="15.75" customHeight="1">
      <c r="D498" s="70"/>
    </row>
    <row r="499" ht="15.75" customHeight="1">
      <c r="D499" s="70"/>
    </row>
    <row r="500" ht="15.75" customHeight="1">
      <c r="D500" s="70"/>
    </row>
    <row r="501" ht="15.75" customHeight="1">
      <c r="D501" s="70"/>
    </row>
    <row r="502" ht="15.75" customHeight="1">
      <c r="D502" s="70"/>
    </row>
    <row r="503" ht="15.75" customHeight="1">
      <c r="D503" s="70"/>
    </row>
    <row r="504" ht="15.75" customHeight="1">
      <c r="D504" s="70"/>
    </row>
    <row r="505" ht="15.75" customHeight="1">
      <c r="D505" s="70"/>
    </row>
    <row r="506" ht="15.75" customHeight="1">
      <c r="D506" s="70"/>
    </row>
    <row r="507" ht="15.75" customHeight="1">
      <c r="D507" s="70"/>
    </row>
    <row r="508" ht="15.75" customHeight="1">
      <c r="D508" s="70"/>
    </row>
    <row r="509" ht="15.75" customHeight="1">
      <c r="D509" s="70"/>
    </row>
    <row r="510" ht="15.75" customHeight="1">
      <c r="D510" s="70"/>
    </row>
    <row r="511" ht="15.75" customHeight="1">
      <c r="D511" s="70"/>
    </row>
    <row r="512" ht="15.75" customHeight="1">
      <c r="D512" s="70"/>
    </row>
    <row r="513" ht="15.75" customHeight="1">
      <c r="D513" s="70"/>
    </row>
    <row r="514" ht="15.75" customHeight="1">
      <c r="D514" s="70"/>
    </row>
    <row r="515" ht="15.75" customHeight="1">
      <c r="D515" s="70"/>
    </row>
    <row r="516" ht="15.75" customHeight="1">
      <c r="D516" s="70"/>
    </row>
    <row r="517" ht="15.75" customHeight="1">
      <c r="D517" s="70"/>
    </row>
    <row r="518" ht="15.75" customHeight="1">
      <c r="D518" s="70"/>
    </row>
    <row r="519" ht="15.75" customHeight="1">
      <c r="D519" s="70"/>
    </row>
    <row r="520" ht="15.75" customHeight="1">
      <c r="D520" s="70"/>
    </row>
    <row r="521" ht="15.75" customHeight="1">
      <c r="D521" s="70"/>
    </row>
    <row r="522" ht="15.75" customHeight="1">
      <c r="D522" s="70"/>
    </row>
    <row r="523" ht="15.75" customHeight="1">
      <c r="D523" s="70"/>
    </row>
    <row r="524" ht="15.75" customHeight="1">
      <c r="D524" s="70"/>
    </row>
    <row r="525" ht="15.75" customHeight="1">
      <c r="D525" s="70"/>
    </row>
    <row r="526" ht="15.75" customHeight="1">
      <c r="D526" s="70"/>
    </row>
    <row r="527" ht="15.75" customHeight="1">
      <c r="D527" s="70"/>
    </row>
    <row r="528" ht="15.75" customHeight="1">
      <c r="D528" s="70"/>
    </row>
    <row r="529" ht="15.75" customHeight="1">
      <c r="D529" s="70"/>
    </row>
    <row r="530" ht="15.75" customHeight="1">
      <c r="D530" s="70"/>
    </row>
    <row r="531" ht="15.75" customHeight="1">
      <c r="D531" s="70"/>
    </row>
    <row r="532" ht="15.75" customHeight="1">
      <c r="D532" s="70"/>
    </row>
    <row r="533" ht="15.75" customHeight="1">
      <c r="D533" s="70"/>
    </row>
    <row r="534" ht="15.75" customHeight="1">
      <c r="D534" s="70"/>
    </row>
    <row r="535" ht="15.75" customHeight="1">
      <c r="D535" s="70"/>
    </row>
    <row r="536" ht="15.75" customHeight="1">
      <c r="D536" s="70"/>
    </row>
    <row r="537" ht="15.75" customHeight="1">
      <c r="D537" s="70"/>
    </row>
    <row r="538" ht="15.75" customHeight="1">
      <c r="D538" s="70"/>
    </row>
    <row r="539" ht="15.75" customHeight="1">
      <c r="D539" s="70"/>
    </row>
    <row r="540" ht="15.75" customHeight="1">
      <c r="D540" s="70"/>
    </row>
    <row r="541" ht="15.75" customHeight="1">
      <c r="D541" s="70"/>
    </row>
    <row r="542" ht="15.75" customHeight="1">
      <c r="D542" s="70"/>
    </row>
    <row r="543" ht="15.75" customHeight="1">
      <c r="D543" s="70"/>
    </row>
    <row r="544" ht="15.75" customHeight="1">
      <c r="D544" s="70"/>
    </row>
    <row r="545" ht="15.75" customHeight="1">
      <c r="D545" s="70"/>
    </row>
    <row r="546" ht="15.75" customHeight="1">
      <c r="D546" s="70"/>
    </row>
    <row r="547" ht="15.75" customHeight="1">
      <c r="D547" s="70"/>
    </row>
    <row r="548" ht="15.75" customHeight="1">
      <c r="D548" s="70"/>
    </row>
    <row r="549" ht="15.75" customHeight="1">
      <c r="D549" s="70"/>
    </row>
    <row r="550" ht="15.75" customHeight="1">
      <c r="D550" s="70"/>
    </row>
    <row r="551" ht="15.75" customHeight="1">
      <c r="D551" s="70"/>
    </row>
    <row r="552" ht="15.75" customHeight="1">
      <c r="D552" s="70"/>
    </row>
    <row r="553" ht="15.75" customHeight="1">
      <c r="D553" s="70"/>
    </row>
    <row r="554" ht="15.75" customHeight="1">
      <c r="D554" s="70"/>
    </row>
    <row r="555" ht="15.75" customHeight="1">
      <c r="D555" s="70"/>
    </row>
    <row r="556" ht="15.75" customHeight="1">
      <c r="D556" s="70"/>
    </row>
    <row r="557" ht="15.75" customHeight="1">
      <c r="D557" s="70"/>
    </row>
    <row r="558" ht="15.75" customHeight="1">
      <c r="D558" s="70"/>
    </row>
    <row r="559" ht="15.75" customHeight="1">
      <c r="D559" s="70"/>
    </row>
    <row r="560" ht="15.75" customHeight="1">
      <c r="D560" s="70"/>
    </row>
    <row r="561" ht="15.75" customHeight="1">
      <c r="D561" s="70"/>
    </row>
    <row r="562" ht="15.75" customHeight="1">
      <c r="D562" s="70"/>
    </row>
    <row r="563" ht="15.75" customHeight="1">
      <c r="D563" s="70"/>
    </row>
    <row r="564" ht="15.75" customHeight="1">
      <c r="D564" s="70"/>
    </row>
    <row r="565" ht="15.75" customHeight="1">
      <c r="D565" s="70"/>
    </row>
    <row r="566" ht="15.75" customHeight="1">
      <c r="D566" s="70"/>
    </row>
    <row r="567" ht="15.75" customHeight="1">
      <c r="D567" s="70"/>
    </row>
    <row r="568" ht="15.75" customHeight="1">
      <c r="D568" s="70"/>
    </row>
    <row r="569" ht="15.75" customHeight="1">
      <c r="D569" s="70"/>
    </row>
    <row r="570" ht="15.75" customHeight="1">
      <c r="D570" s="70"/>
    </row>
    <row r="571" ht="15.75" customHeight="1">
      <c r="D571" s="70"/>
    </row>
    <row r="572" ht="15.75" customHeight="1">
      <c r="D572" s="70"/>
    </row>
    <row r="573" ht="15.75" customHeight="1">
      <c r="D573" s="70"/>
    </row>
    <row r="574" ht="15.75" customHeight="1">
      <c r="D574" s="70"/>
    </row>
    <row r="575" ht="15.75" customHeight="1">
      <c r="D575" s="70"/>
    </row>
    <row r="576" ht="15.75" customHeight="1">
      <c r="D576" s="70"/>
    </row>
    <row r="577" ht="15.75" customHeight="1">
      <c r="D577" s="70"/>
    </row>
    <row r="578" ht="15.75" customHeight="1">
      <c r="D578" s="70"/>
    </row>
    <row r="579" ht="15.75" customHeight="1">
      <c r="D579" s="70"/>
    </row>
    <row r="580" ht="15.75" customHeight="1">
      <c r="D580" s="70"/>
    </row>
    <row r="581" ht="15.75" customHeight="1">
      <c r="D581" s="70"/>
    </row>
    <row r="582" ht="15.75" customHeight="1">
      <c r="D582" s="70"/>
    </row>
    <row r="583" ht="15.75" customHeight="1">
      <c r="D583" s="70"/>
    </row>
    <row r="584" ht="15.75" customHeight="1">
      <c r="D584" s="70"/>
    </row>
    <row r="585" ht="15.75" customHeight="1">
      <c r="D585" s="70"/>
    </row>
    <row r="586" ht="15.75" customHeight="1">
      <c r="D586" s="70"/>
    </row>
    <row r="587" ht="15.75" customHeight="1">
      <c r="D587" s="70"/>
    </row>
    <row r="588" ht="15.75" customHeight="1">
      <c r="D588" s="70"/>
    </row>
    <row r="589" ht="15.75" customHeight="1">
      <c r="D589" s="70"/>
    </row>
    <row r="590" ht="15.75" customHeight="1">
      <c r="D590" s="70"/>
    </row>
    <row r="591" ht="15.75" customHeight="1">
      <c r="D591" s="70"/>
    </row>
    <row r="592" ht="15.75" customHeight="1">
      <c r="D592" s="70"/>
    </row>
    <row r="593" ht="15.75" customHeight="1">
      <c r="D593" s="70"/>
    </row>
    <row r="594" ht="15.75" customHeight="1">
      <c r="D594" s="70"/>
    </row>
    <row r="595" ht="15.75" customHeight="1">
      <c r="D595" s="70"/>
    </row>
    <row r="596" ht="15.75" customHeight="1">
      <c r="D596" s="70"/>
    </row>
    <row r="597" ht="15.75" customHeight="1">
      <c r="D597" s="70"/>
    </row>
    <row r="598" ht="15.75" customHeight="1">
      <c r="D598" s="70"/>
    </row>
    <row r="599" ht="15.75" customHeight="1">
      <c r="D599" s="70"/>
    </row>
    <row r="600" ht="15.75" customHeight="1">
      <c r="D600" s="70"/>
    </row>
    <row r="601" ht="15.75" customHeight="1">
      <c r="D601" s="70"/>
    </row>
    <row r="602" ht="15.75" customHeight="1">
      <c r="D602" s="70"/>
    </row>
    <row r="603" ht="15.75" customHeight="1">
      <c r="D603" s="70"/>
    </row>
    <row r="604" ht="15.75" customHeight="1">
      <c r="D604" s="70"/>
    </row>
    <row r="605" ht="15.75" customHeight="1">
      <c r="D605" s="70"/>
    </row>
    <row r="606" ht="15.75" customHeight="1">
      <c r="D606" s="70"/>
    </row>
    <row r="607" ht="15.75" customHeight="1">
      <c r="D607" s="70"/>
    </row>
    <row r="608" ht="15.75" customHeight="1">
      <c r="D608" s="70"/>
    </row>
    <row r="609" ht="15.75" customHeight="1">
      <c r="D609" s="70"/>
    </row>
    <row r="610" ht="15.75" customHeight="1">
      <c r="D610" s="70"/>
    </row>
    <row r="611" ht="15.75" customHeight="1">
      <c r="D611" s="70"/>
    </row>
    <row r="612" ht="15.75" customHeight="1">
      <c r="D612" s="70"/>
    </row>
    <row r="613" ht="15.75" customHeight="1">
      <c r="D613" s="70"/>
    </row>
    <row r="614" ht="15.75" customHeight="1">
      <c r="D614" s="70"/>
    </row>
    <row r="615" ht="15.75" customHeight="1">
      <c r="D615" s="70"/>
    </row>
    <row r="616" ht="15.75" customHeight="1">
      <c r="D616" s="70"/>
    </row>
    <row r="617" ht="15.75" customHeight="1">
      <c r="D617" s="70"/>
    </row>
    <row r="618" ht="15.75" customHeight="1">
      <c r="D618" s="70"/>
    </row>
    <row r="619" ht="15.75" customHeight="1">
      <c r="D619" s="70"/>
    </row>
    <row r="620" ht="15.75" customHeight="1">
      <c r="D620" s="70"/>
    </row>
    <row r="621" ht="15.75" customHeight="1">
      <c r="D621" s="70"/>
    </row>
    <row r="622" ht="15.75" customHeight="1">
      <c r="D622" s="70"/>
    </row>
    <row r="623" ht="15.75" customHeight="1">
      <c r="D623" s="70"/>
    </row>
    <row r="624" ht="15.75" customHeight="1">
      <c r="D624" s="70"/>
    </row>
    <row r="625" ht="15.75" customHeight="1">
      <c r="D625" s="70"/>
    </row>
    <row r="626" ht="15.75" customHeight="1">
      <c r="D626" s="70"/>
    </row>
    <row r="627" ht="15.75" customHeight="1">
      <c r="D627" s="70"/>
    </row>
    <row r="628" ht="15.75" customHeight="1">
      <c r="D628" s="70"/>
    </row>
    <row r="629" ht="15.75" customHeight="1">
      <c r="D629" s="70"/>
    </row>
    <row r="630" ht="15.75" customHeight="1">
      <c r="D630" s="70"/>
    </row>
    <row r="631" ht="15.75" customHeight="1">
      <c r="D631" s="70"/>
    </row>
    <row r="632" ht="15.75" customHeight="1">
      <c r="D632" s="70"/>
    </row>
    <row r="633" ht="15.75" customHeight="1">
      <c r="D633" s="70"/>
    </row>
    <row r="634" ht="15.75" customHeight="1">
      <c r="D634" s="70"/>
    </row>
    <row r="635" ht="15.75" customHeight="1">
      <c r="D635" s="70"/>
    </row>
    <row r="636" ht="15.75" customHeight="1">
      <c r="D636" s="70"/>
    </row>
    <row r="637" ht="15.75" customHeight="1">
      <c r="D637" s="70"/>
    </row>
    <row r="638" ht="15.75" customHeight="1">
      <c r="D638" s="70"/>
    </row>
    <row r="639" ht="15.75" customHeight="1">
      <c r="D639" s="70"/>
    </row>
    <row r="640" ht="15.75" customHeight="1">
      <c r="D640" s="70"/>
    </row>
    <row r="641" ht="15.75" customHeight="1">
      <c r="D641" s="70"/>
    </row>
    <row r="642" ht="15.75" customHeight="1">
      <c r="D642" s="70"/>
    </row>
    <row r="643" ht="15.75" customHeight="1">
      <c r="D643" s="70"/>
    </row>
    <row r="644" ht="15.75" customHeight="1">
      <c r="D644" s="70"/>
    </row>
    <row r="645" ht="15.75" customHeight="1">
      <c r="D645" s="70"/>
    </row>
    <row r="646" ht="15.75" customHeight="1">
      <c r="D646" s="70"/>
    </row>
    <row r="647" ht="15.75" customHeight="1">
      <c r="D647" s="70"/>
    </row>
    <row r="648" ht="15.75" customHeight="1">
      <c r="D648" s="70"/>
    </row>
    <row r="649" ht="15.75" customHeight="1">
      <c r="D649" s="70"/>
    </row>
    <row r="650" ht="15.75" customHeight="1">
      <c r="D650" s="70"/>
    </row>
    <row r="651" ht="15.75" customHeight="1">
      <c r="D651" s="70"/>
    </row>
    <row r="652" ht="15.75" customHeight="1">
      <c r="D652" s="70"/>
    </row>
    <row r="653" ht="15.75" customHeight="1">
      <c r="D653" s="70"/>
    </row>
    <row r="654" ht="15.75" customHeight="1">
      <c r="D654" s="70"/>
    </row>
    <row r="655" ht="15.75" customHeight="1">
      <c r="D655" s="70"/>
    </row>
    <row r="656" ht="15.75" customHeight="1">
      <c r="D656" s="70"/>
    </row>
    <row r="657" ht="15.75" customHeight="1">
      <c r="D657" s="70"/>
    </row>
    <row r="658" ht="15.75" customHeight="1">
      <c r="D658" s="70"/>
    </row>
    <row r="659" ht="15.75" customHeight="1">
      <c r="D659" s="70"/>
    </row>
    <row r="660" ht="15.75" customHeight="1">
      <c r="D660" s="70"/>
    </row>
    <row r="661" ht="15.75" customHeight="1">
      <c r="D661" s="70"/>
    </row>
    <row r="662" ht="15.75" customHeight="1">
      <c r="D662" s="70"/>
    </row>
    <row r="663" ht="15.75" customHeight="1">
      <c r="D663" s="70"/>
    </row>
    <row r="664" ht="15.75" customHeight="1">
      <c r="D664" s="70"/>
    </row>
    <row r="665" ht="15.75" customHeight="1">
      <c r="D665" s="70"/>
    </row>
    <row r="666" ht="15.75" customHeight="1">
      <c r="D666" s="70"/>
    </row>
    <row r="667" ht="15.75" customHeight="1">
      <c r="D667" s="70"/>
    </row>
    <row r="668" ht="15.75" customHeight="1">
      <c r="D668" s="70"/>
    </row>
    <row r="669" ht="15.75" customHeight="1">
      <c r="D669" s="70"/>
    </row>
    <row r="670" ht="15.75" customHeight="1">
      <c r="D670" s="70"/>
    </row>
    <row r="671" ht="15.75" customHeight="1">
      <c r="D671" s="70"/>
    </row>
    <row r="672" ht="15.75" customHeight="1">
      <c r="D672" s="70"/>
    </row>
    <row r="673" ht="15.75" customHeight="1">
      <c r="D673" s="70"/>
    </row>
    <row r="674" ht="15.75" customHeight="1">
      <c r="D674" s="70"/>
    </row>
    <row r="675" ht="15.75" customHeight="1">
      <c r="D675" s="70"/>
    </row>
    <row r="676" ht="15.75" customHeight="1">
      <c r="D676" s="70"/>
    </row>
    <row r="677" ht="15.75" customHeight="1">
      <c r="D677" s="70"/>
    </row>
    <row r="678" ht="15.75" customHeight="1">
      <c r="D678" s="70"/>
    </row>
    <row r="679" ht="15.75" customHeight="1">
      <c r="D679" s="70"/>
    </row>
    <row r="680" ht="15.75" customHeight="1">
      <c r="D680" s="70"/>
    </row>
    <row r="681" ht="15.75" customHeight="1">
      <c r="D681" s="70"/>
    </row>
    <row r="682" ht="15.75" customHeight="1">
      <c r="D682" s="70"/>
    </row>
    <row r="683" ht="15.75" customHeight="1">
      <c r="D683" s="70"/>
    </row>
    <row r="684" ht="15.75" customHeight="1">
      <c r="D684" s="70"/>
    </row>
    <row r="685" ht="15.75" customHeight="1">
      <c r="D685" s="70"/>
    </row>
    <row r="686" ht="15.75" customHeight="1">
      <c r="D686" s="70"/>
    </row>
    <row r="687" ht="15.75" customHeight="1">
      <c r="D687" s="70"/>
    </row>
    <row r="688" ht="15.75" customHeight="1">
      <c r="D688" s="70"/>
    </row>
    <row r="689" ht="15.75" customHeight="1">
      <c r="D689" s="70"/>
    </row>
    <row r="690" ht="15.75" customHeight="1">
      <c r="D690" s="70"/>
    </row>
    <row r="691" ht="15.75" customHeight="1">
      <c r="D691" s="70"/>
    </row>
    <row r="692" ht="15.75" customHeight="1">
      <c r="D692" s="70"/>
    </row>
    <row r="693" ht="15.75" customHeight="1">
      <c r="D693" s="70"/>
    </row>
    <row r="694" ht="15.75" customHeight="1">
      <c r="D694" s="70"/>
    </row>
    <row r="695" ht="15.75" customHeight="1">
      <c r="D695" s="70"/>
    </row>
    <row r="696" ht="15.75" customHeight="1">
      <c r="D696" s="70"/>
    </row>
    <row r="697" ht="15.75" customHeight="1">
      <c r="D697" s="70"/>
    </row>
    <row r="698" ht="15.75" customHeight="1">
      <c r="D698" s="70"/>
    </row>
    <row r="699" ht="15.75" customHeight="1">
      <c r="D699" s="70"/>
    </row>
    <row r="700" ht="15.75" customHeight="1">
      <c r="D700" s="70"/>
    </row>
    <row r="701" ht="15.75" customHeight="1">
      <c r="D701" s="70"/>
    </row>
    <row r="702" ht="15.75" customHeight="1">
      <c r="D702" s="70"/>
    </row>
    <row r="703" ht="15.75" customHeight="1">
      <c r="D703" s="70"/>
    </row>
    <row r="704" ht="15.75" customHeight="1">
      <c r="D704" s="70"/>
    </row>
    <row r="705" ht="15.75" customHeight="1">
      <c r="D705" s="70"/>
    </row>
    <row r="706" ht="15.75" customHeight="1">
      <c r="D706" s="70"/>
    </row>
    <row r="707" ht="15.75" customHeight="1">
      <c r="D707" s="70"/>
    </row>
    <row r="708" ht="15.75" customHeight="1">
      <c r="D708" s="70"/>
    </row>
    <row r="709" ht="15.75" customHeight="1">
      <c r="D709" s="70"/>
    </row>
    <row r="710" ht="15.75" customHeight="1">
      <c r="D710" s="70"/>
    </row>
    <row r="711" ht="15.75" customHeight="1">
      <c r="D711" s="70"/>
    </row>
    <row r="712" ht="15.75" customHeight="1">
      <c r="D712" s="70"/>
    </row>
    <row r="713" ht="15.75" customHeight="1">
      <c r="D713" s="70"/>
    </row>
    <row r="714" ht="15.75" customHeight="1">
      <c r="D714" s="70"/>
    </row>
    <row r="715" ht="15.75" customHeight="1">
      <c r="D715" s="70"/>
    </row>
    <row r="716" ht="15.75" customHeight="1">
      <c r="D716" s="70"/>
    </row>
    <row r="717" ht="15.75" customHeight="1">
      <c r="D717" s="70"/>
    </row>
    <row r="718" ht="15.75" customHeight="1">
      <c r="D718" s="70"/>
    </row>
    <row r="719" ht="15.75" customHeight="1">
      <c r="D719" s="70"/>
    </row>
    <row r="720" ht="15.75" customHeight="1">
      <c r="D720" s="70"/>
    </row>
    <row r="721" ht="15.75" customHeight="1">
      <c r="D721" s="70"/>
    </row>
    <row r="722" ht="15.75" customHeight="1">
      <c r="D722" s="70"/>
    </row>
    <row r="723" ht="15.75" customHeight="1">
      <c r="D723" s="70"/>
    </row>
    <row r="724" ht="15.75" customHeight="1">
      <c r="D724" s="70"/>
    </row>
    <row r="725" ht="15.75" customHeight="1">
      <c r="D725" s="70"/>
    </row>
    <row r="726" ht="15.75" customHeight="1">
      <c r="D726" s="70"/>
    </row>
    <row r="727" ht="15.75" customHeight="1">
      <c r="D727" s="70"/>
    </row>
    <row r="728" ht="15.75" customHeight="1">
      <c r="D728" s="70"/>
    </row>
    <row r="729" ht="15.75" customHeight="1">
      <c r="D729" s="70"/>
    </row>
    <row r="730" ht="15.75" customHeight="1">
      <c r="D730" s="70"/>
    </row>
    <row r="731" ht="15.75" customHeight="1">
      <c r="D731" s="70"/>
    </row>
    <row r="732" ht="15.75" customHeight="1">
      <c r="D732" s="70"/>
    </row>
    <row r="733" ht="15.75" customHeight="1">
      <c r="D733" s="70"/>
    </row>
    <row r="734" ht="15.75" customHeight="1">
      <c r="D734" s="70"/>
    </row>
    <row r="735" ht="15.75" customHeight="1">
      <c r="D735" s="70"/>
    </row>
    <row r="736" ht="15.75" customHeight="1">
      <c r="D736" s="70"/>
    </row>
    <row r="737" ht="15.75" customHeight="1">
      <c r="D737" s="70"/>
    </row>
    <row r="738" ht="15.75" customHeight="1">
      <c r="D738" s="70"/>
    </row>
    <row r="739" ht="15.75" customHeight="1">
      <c r="D739" s="70"/>
    </row>
    <row r="740" ht="15.75" customHeight="1">
      <c r="D740" s="70"/>
    </row>
    <row r="741" ht="15.75" customHeight="1">
      <c r="D741" s="70"/>
    </row>
    <row r="742" ht="15.75" customHeight="1">
      <c r="D742" s="70"/>
    </row>
    <row r="743" ht="15.75" customHeight="1">
      <c r="D743" s="70"/>
    </row>
    <row r="744" ht="15.75" customHeight="1">
      <c r="D744" s="70"/>
    </row>
    <row r="745" ht="15.75" customHeight="1">
      <c r="D745" s="70"/>
    </row>
    <row r="746" ht="15.75" customHeight="1">
      <c r="D746" s="70"/>
    </row>
    <row r="747" ht="15.75" customHeight="1">
      <c r="D747" s="70"/>
    </row>
    <row r="748" ht="15.75" customHeight="1">
      <c r="D748" s="70"/>
    </row>
    <row r="749" ht="15.75" customHeight="1">
      <c r="D749" s="70"/>
    </row>
    <row r="750" ht="15.75" customHeight="1">
      <c r="D750" s="70"/>
    </row>
    <row r="751" ht="15.75" customHeight="1">
      <c r="D751" s="70"/>
    </row>
    <row r="752" ht="15.75" customHeight="1">
      <c r="D752" s="70"/>
    </row>
    <row r="753" ht="15.75" customHeight="1">
      <c r="D753" s="70"/>
    </row>
    <row r="754" ht="15.75" customHeight="1">
      <c r="D754" s="70"/>
    </row>
    <row r="755" ht="15.75" customHeight="1">
      <c r="D755" s="70"/>
    </row>
    <row r="756" ht="15.75" customHeight="1">
      <c r="D756" s="70"/>
    </row>
    <row r="757" ht="15.75" customHeight="1">
      <c r="D757" s="70"/>
    </row>
    <row r="758" ht="15.75" customHeight="1">
      <c r="D758" s="70"/>
    </row>
    <row r="759" ht="15.75" customHeight="1">
      <c r="D759" s="70"/>
    </row>
    <row r="760" ht="15.75" customHeight="1">
      <c r="D760" s="70"/>
    </row>
    <row r="761" ht="15.75" customHeight="1">
      <c r="D761" s="70"/>
    </row>
    <row r="762" ht="15.75" customHeight="1">
      <c r="D762" s="70"/>
    </row>
    <row r="763" ht="15.75" customHeight="1">
      <c r="D763" s="70"/>
    </row>
    <row r="764" ht="15.75" customHeight="1">
      <c r="D764" s="70"/>
    </row>
    <row r="765" ht="15.75" customHeight="1">
      <c r="D765" s="70"/>
    </row>
    <row r="766" ht="15.75" customHeight="1">
      <c r="D766" s="70"/>
    </row>
    <row r="767" ht="15.75" customHeight="1">
      <c r="D767" s="70"/>
    </row>
    <row r="768" ht="15.75" customHeight="1">
      <c r="D768" s="70"/>
    </row>
    <row r="769" ht="15.75" customHeight="1">
      <c r="D769" s="70"/>
    </row>
    <row r="770" ht="15.75" customHeight="1">
      <c r="D770" s="70"/>
    </row>
    <row r="771" ht="15.75" customHeight="1">
      <c r="D771" s="70"/>
    </row>
    <row r="772" ht="15.75" customHeight="1">
      <c r="D772" s="70"/>
    </row>
    <row r="773" ht="15.75" customHeight="1">
      <c r="D773" s="70"/>
    </row>
    <row r="774" ht="15.75" customHeight="1">
      <c r="D774" s="70"/>
    </row>
    <row r="775" ht="15.75" customHeight="1">
      <c r="D775" s="70"/>
    </row>
    <row r="776" ht="15.75" customHeight="1">
      <c r="D776" s="70"/>
    </row>
    <row r="777" ht="15.75" customHeight="1">
      <c r="D777" s="70"/>
    </row>
    <row r="778" ht="15.75" customHeight="1">
      <c r="D778" s="70"/>
    </row>
    <row r="779" ht="15.75" customHeight="1">
      <c r="D779" s="70"/>
    </row>
    <row r="780" ht="15.75" customHeight="1">
      <c r="D780" s="70"/>
    </row>
    <row r="781" ht="15.75" customHeight="1">
      <c r="D781" s="70"/>
    </row>
    <row r="782" ht="15.75" customHeight="1">
      <c r="D782" s="70"/>
    </row>
    <row r="783" ht="15.75" customHeight="1">
      <c r="D783" s="70"/>
    </row>
    <row r="784" ht="15.75" customHeight="1">
      <c r="D784" s="70"/>
    </row>
    <row r="785" ht="15.75" customHeight="1">
      <c r="D785" s="70"/>
    </row>
    <row r="786" ht="15.75" customHeight="1">
      <c r="D786" s="70"/>
    </row>
    <row r="787" ht="15.75" customHeight="1">
      <c r="D787" s="70"/>
    </row>
    <row r="788" ht="15.75" customHeight="1">
      <c r="D788" s="70"/>
    </row>
    <row r="789" ht="15.75" customHeight="1">
      <c r="D789" s="70"/>
    </row>
    <row r="790" ht="15.75" customHeight="1">
      <c r="D790" s="70"/>
    </row>
    <row r="791" ht="15.75" customHeight="1">
      <c r="D791" s="70"/>
    </row>
    <row r="792" ht="15.75" customHeight="1">
      <c r="D792" s="70"/>
    </row>
    <row r="793" ht="15.75" customHeight="1">
      <c r="D793" s="70"/>
    </row>
    <row r="794" ht="15.75" customHeight="1">
      <c r="D794" s="70"/>
    </row>
    <row r="795" ht="15.75" customHeight="1">
      <c r="D795" s="70"/>
    </row>
    <row r="796" ht="15.75" customHeight="1">
      <c r="D796" s="70"/>
    </row>
    <row r="797" ht="15.75" customHeight="1">
      <c r="D797" s="70"/>
    </row>
    <row r="798" ht="15.75" customHeight="1">
      <c r="D798" s="70"/>
    </row>
    <row r="799" ht="15.75" customHeight="1">
      <c r="D799" s="70"/>
    </row>
    <row r="800" ht="15.75" customHeight="1">
      <c r="D800" s="70"/>
    </row>
    <row r="801" ht="15.75" customHeight="1">
      <c r="D801" s="70"/>
    </row>
    <row r="802" ht="15.75" customHeight="1">
      <c r="D802" s="70"/>
    </row>
    <row r="803" ht="15.75" customHeight="1">
      <c r="D803" s="70"/>
    </row>
    <row r="804" ht="15.75" customHeight="1">
      <c r="D804" s="70"/>
    </row>
    <row r="805" ht="15.75" customHeight="1">
      <c r="D805" s="70"/>
    </row>
    <row r="806" ht="15.75" customHeight="1">
      <c r="D806" s="70"/>
    </row>
    <row r="807" ht="15.75" customHeight="1">
      <c r="D807" s="70"/>
    </row>
    <row r="808" ht="15.75" customHeight="1">
      <c r="D808" s="70"/>
    </row>
    <row r="809" ht="15.75" customHeight="1">
      <c r="D809" s="70"/>
    </row>
    <row r="810" ht="15.75" customHeight="1">
      <c r="D810" s="70"/>
    </row>
    <row r="811" ht="15.75" customHeight="1">
      <c r="D811" s="70"/>
    </row>
    <row r="812" ht="15.75" customHeight="1">
      <c r="D812" s="70"/>
    </row>
    <row r="813" ht="15.75" customHeight="1">
      <c r="D813" s="70"/>
    </row>
    <row r="814" ht="15.75" customHeight="1">
      <c r="D814" s="70"/>
    </row>
    <row r="815" ht="15.75" customHeight="1">
      <c r="D815" s="70"/>
    </row>
    <row r="816" ht="15.75" customHeight="1">
      <c r="D816" s="70"/>
    </row>
    <row r="817" ht="15.75" customHeight="1">
      <c r="D817" s="70"/>
    </row>
    <row r="818" ht="15.75" customHeight="1">
      <c r="D818" s="70"/>
    </row>
    <row r="819" ht="15.75" customHeight="1">
      <c r="D819" s="70"/>
    </row>
    <row r="820" ht="15.75" customHeight="1">
      <c r="D820" s="70"/>
    </row>
    <row r="821" ht="15.75" customHeight="1">
      <c r="D821" s="70"/>
    </row>
    <row r="822" ht="15.75" customHeight="1">
      <c r="D822" s="70"/>
    </row>
    <row r="823" ht="15.75" customHeight="1">
      <c r="D823" s="70"/>
    </row>
    <row r="824" ht="15.75" customHeight="1">
      <c r="D824" s="70"/>
    </row>
    <row r="825" ht="15.75" customHeight="1">
      <c r="D825" s="70"/>
    </row>
    <row r="826" ht="15.75" customHeight="1">
      <c r="D826" s="70"/>
    </row>
    <row r="827" ht="15.75" customHeight="1">
      <c r="D827" s="70"/>
    </row>
    <row r="828" ht="15.75" customHeight="1">
      <c r="D828" s="70"/>
    </row>
    <row r="829" ht="15.75" customHeight="1">
      <c r="D829" s="70"/>
    </row>
    <row r="830" ht="15.75" customHeight="1">
      <c r="D830" s="70"/>
    </row>
    <row r="831" ht="15.75" customHeight="1">
      <c r="D831" s="70"/>
    </row>
    <row r="832" ht="15.75" customHeight="1">
      <c r="D832" s="70"/>
    </row>
    <row r="833" ht="15.75" customHeight="1">
      <c r="D833" s="70"/>
    </row>
    <row r="834" ht="15.75" customHeight="1">
      <c r="D834" s="70"/>
    </row>
    <row r="835" ht="15.75" customHeight="1">
      <c r="D835" s="70"/>
    </row>
    <row r="836" ht="15.75" customHeight="1">
      <c r="D836" s="70"/>
    </row>
    <row r="837" ht="15.75" customHeight="1">
      <c r="D837" s="70"/>
    </row>
    <row r="838" ht="15.75" customHeight="1">
      <c r="D838" s="70"/>
    </row>
    <row r="839" ht="15.75" customHeight="1">
      <c r="D839" s="70"/>
    </row>
    <row r="840" ht="15.75" customHeight="1">
      <c r="D840" s="70"/>
    </row>
    <row r="841" ht="15.75" customHeight="1">
      <c r="D841" s="70"/>
    </row>
    <row r="842" ht="15.75" customHeight="1">
      <c r="D842" s="70"/>
    </row>
    <row r="843" ht="15.75" customHeight="1">
      <c r="D843" s="70"/>
    </row>
    <row r="844" ht="15.75" customHeight="1">
      <c r="D844" s="70"/>
    </row>
    <row r="845" ht="15.75" customHeight="1">
      <c r="D845" s="70"/>
    </row>
    <row r="846" ht="15.75" customHeight="1">
      <c r="D846" s="70"/>
    </row>
    <row r="847" ht="15.75" customHeight="1">
      <c r="D847" s="70"/>
    </row>
    <row r="848" ht="15.75" customHeight="1">
      <c r="D848" s="70"/>
    </row>
    <row r="849" ht="15.75" customHeight="1">
      <c r="D849" s="70"/>
    </row>
    <row r="850" ht="15.75" customHeight="1">
      <c r="D850" s="70"/>
    </row>
    <row r="851" ht="15.75" customHeight="1">
      <c r="D851" s="70"/>
    </row>
    <row r="852" ht="15.75" customHeight="1">
      <c r="D852" s="70"/>
    </row>
    <row r="853" ht="15.75" customHeight="1">
      <c r="D853" s="70"/>
    </row>
    <row r="854" ht="15.75" customHeight="1">
      <c r="D854" s="70"/>
    </row>
    <row r="855" ht="15.75" customHeight="1">
      <c r="D855" s="70"/>
    </row>
    <row r="856" ht="15.75" customHeight="1">
      <c r="D856" s="70"/>
    </row>
    <row r="857" ht="15.75" customHeight="1">
      <c r="D857" s="70"/>
    </row>
    <row r="858" ht="15.75" customHeight="1">
      <c r="D858" s="70"/>
    </row>
    <row r="859" ht="15.75" customHeight="1">
      <c r="D859" s="70"/>
    </row>
    <row r="860" ht="15.75" customHeight="1">
      <c r="D860" s="70"/>
    </row>
    <row r="861" ht="15.75" customHeight="1">
      <c r="D861" s="70"/>
    </row>
    <row r="862" ht="15.75" customHeight="1">
      <c r="D862" s="70"/>
    </row>
    <row r="863" ht="15.75" customHeight="1">
      <c r="D863" s="70"/>
    </row>
    <row r="864" ht="15.75" customHeight="1">
      <c r="D864" s="70"/>
    </row>
    <row r="865" ht="15.75" customHeight="1">
      <c r="D865" s="70"/>
    </row>
    <row r="866" ht="15.75" customHeight="1">
      <c r="D866" s="70"/>
    </row>
    <row r="867" ht="15.75" customHeight="1">
      <c r="D867" s="70"/>
    </row>
    <row r="868" ht="15.75" customHeight="1">
      <c r="D868" s="70"/>
    </row>
    <row r="869" ht="15.75" customHeight="1">
      <c r="D869" s="70"/>
    </row>
    <row r="870" ht="15.75" customHeight="1">
      <c r="D870" s="70"/>
    </row>
    <row r="871" ht="15.75" customHeight="1">
      <c r="D871" s="70"/>
    </row>
    <row r="872" ht="15.75" customHeight="1">
      <c r="D872" s="70"/>
    </row>
    <row r="873" ht="15.75" customHeight="1">
      <c r="D873" s="70"/>
    </row>
    <row r="874" ht="15.75" customHeight="1">
      <c r="D874" s="70"/>
    </row>
    <row r="875" ht="15.75" customHeight="1">
      <c r="D875" s="70"/>
    </row>
    <row r="876" ht="15.75" customHeight="1">
      <c r="D876" s="70"/>
    </row>
    <row r="877" ht="15.75" customHeight="1">
      <c r="D877" s="70"/>
    </row>
    <row r="878" ht="15.75" customHeight="1">
      <c r="D878" s="70"/>
    </row>
    <row r="879" ht="15.75" customHeight="1">
      <c r="D879" s="70"/>
    </row>
    <row r="880" ht="15.75" customHeight="1">
      <c r="D880" s="70"/>
    </row>
    <row r="881" ht="15.75" customHeight="1">
      <c r="D881" s="70"/>
    </row>
    <row r="882" ht="15.75" customHeight="1">
      <c r="D882" s="70"/>
    </row>
    <row r="883" ht="15.75" customHeight="1">
      <c r="D883" s="70"/>
    </row>
    <row r="884" ht="15.75" customHeight="1">
      <c r="D884" s="70"/>
    </row>
    <row r="885" ht="15.75" customHeight="1">
      <c r="D885" s="70"/>
    </row>
    <row r="886" ht="15.75" customHeight="1">
      <c r="D886" s="70"/>
    </row>
    <row r="887" ht="15.75" customHeight="1">
      <c r="D887" s="70"/>
    </row>
    <row r="888" ht="15.75" customHeight="1">
      <c r="D888" s="70"/>
    </row>
    <row r="889" ht="15.75" customHeight="1">
      <c r="D889" s="70"/>
    </row>
    <row r="890" ht="15.75" customHeight="1">
      <c r="D890" s="70"/>
    </row>
    <row r="891" ht="15.75" customHeight="1">
      <c r="D891" s="70"/>
    </row>
    <row r="892" ht="15.75" customHeight="1">
      <c r="D892" s="70"/>
    </row>
    <row r="893" ht="15.75" customHeight="1">
      <c r="D893" s="70"/>
    </row>
    <row r="894" ht="15.75" customHeight="1">
      <c r="D894" s="70"/>
    </row>
    <row r="895" ht="15.75" customHeight="1">
      <c r="D895" s="70"/>
    </row>
    <row r="896" ht="15.75" customHeight="1">
      <c r="D896" s="70"/>
    </row>
    <row r="897" ht="15.75" customHeight="1">
      <c r="D897" s="70"/>
    </row>
    <row r="898" ht="15.75" customHeight="1">
      <c r="D898" s="70"/>
    </row>
    <row r="899" ht="15.75" customHeight="1">
      <c r="D899" s="70"/>
    </row>
    <row r="900" ht="15.75" customHeight="1">
      <c r="D900" s="70"/>
    </row>
    <row r="901" ht="15.75" customHeight="1">
      <c r="D901" s="70"/>
    </row>
    <row r="902" ht="15.75" customHeight="1">
      <c r="D902" s="70"/>
    </row>
    <row r="903" ht="15.75" customHeight="1">
      <c r="D903" s="70"/>
    </row>
    <row r="904" ht="15.75" customHeight="1">
      <c r="D904" s="70"/>
    </row>
    <row r="905" ht="15.75" customHeight="1">
      <c r="D905" s="70"/>
    </row>
    <row r="906" ht="15.75" customHeight="1">
      <c r="D906" s="70"/>
    </row>
    <row r="907" ht="15.75" customHeight="1">
      <c r="D907" s="70"/>
    </row>
    <row r="908" ht="15.75" customHeight="1">
      <c r="D908" s="70"/>
    </row>
    <row r="909" ht="15.75" customHeight="1">
      <c r="D909" s="70"/>
    </row>
    <row r="910" ht="15.75" customHeight="1">
      <c r="D910" s="70"/>
    </row>
    <row r="911" ht="15.75" customHeight="1">
      <c r="D911" s="70"/>
    </row>
    <row r="912" ht="15.75" customHeight="1">
      <c r="D912" s="70"/>
    </row>
    <row r="913" ht="15.75" customHeight="1">
      <c r="D913" s="70"/>
    </row>
    <row r="914" ht="15.75" customHeight="1">
      <c r="D914" s="70"/>
    </row>
    <row r="915" ht="15.75" customHeight="1">
      <c r="D915" s="70"/>
    </row>
    <row r="916" ht="15.75" customHeight="1">
      <c r="D916" s="70"/>
    </row>
    <row r="917" ht="15.75" customHeight="1">
      <c r="D917" s="70"/>
    </row>
    <row r="918" ht="15.75" customHeight="1">
      <c r="D918" s="70"/>
    </row>
    <row r="919" ht="15.75" customHeight="1">
      <c r="D919" s="70"/>
    </row>
    <row r="920" ht="15.75" customHeight="1">
      <c r="D920" s="70"/>
    </row>
    <row r="921" ht="15.75" customHeight="1">
      <c r="D921" s="70"/>
    </row>
    <row r="922" ht="15.75" customHeight="1">
      <c r="D922" s="70"/>
    </row>
    <row r="923" ht="15.75" customHeight="1">
      <c r="D923" s="70"/>
    </row>
    <row r="924" ht="15.75" customHeight="1">
      <c r="D924" s="70"/>
    </row>
    <row r="925" ht="15.75" customHeight="1">
      <c r="D925" s="70"/>
    </row>
    <row r="926" ht="15.75" customHeight="1">
      <c r="D926" s="70"/>
    </row>
    <row r="927" ht="15.75" customHeight="1">
      <c r="D927" s="70"/>
    </row>
    <row r="928" ht="15.75" customHeight="1">
      <c r="D928" s="70"/>
    </row>
    <row r="929" ht="15.75" customHeight="1">
      <c r="D929" s="70"/>
    </row>
    <row r="930" ht="15.75" customHeight="1">
      <c r="D930" s="70"/>
    </row>
    <row r="931" ht="15.75" customHeight="1">
      <c r="D931" s="70"/>
    </row>
    <row r="932" ht="15.75" customHeight="1">
      <c r="D932" s="70"/>
    </row>
    <row r="933" ht="15.75" customHeight="1">
      <c r="D933" s="70"/>
    </row>
    <row r="934" ht="15.75" customHeight="1">
      <c r="D934" s="70"/>
    </row>
    <row r="935" ht="15.75" customHeight="1">
      <c r="D935" s="70"/>
    </row>
    <row r="936" ht="15.75" customHeight="1">
      <c r="D936" s="70"/>
    </row>
    <row r="937" ht="15.75" customHeight="1">
      <c r="D937" s="70"/>
    </row>
    <row r="938" ht="15.75" customHeight="1">
      <c r="D938" s="70"/>
    </row>
    <row r="939" ht="15.75" customHeight="1">
      <c r="D939" s="70"/>
    </row>
    <row r="940" ht="15.75" customHeight="1">
      <c r="D940" s="70"/>
    </row>
    <row r="941" ht="15.75" customHeight="1">
      <c r="D941" s="70"/>
    </row>
    <row r="942" ht="15.75" customHeight="1">
      <c r="D942" s="70"/>
    </row>
    <row r="943" ht="15.75" customHeight="1">
      <c r="D943" s="70"/>
    </row>
    <row r="944" ht="15.75" customHeight="1">
      <c r="D944" s="70"/>
    </row>
    <row r="945" ht="15.75" customHeight="1">
      <c r="D945" s="70"/>
    </row>
    <row r="946" ht="15.75" customHeight="1">
      <c r="D946" s="70"/>
    </row>
    <row r="947" ht="15.75" customHeight="1">
      <c r="D947" s="70"/>
    </row>
    <row r="948" ht="15.75" customHeight="1">
      <c r="D948" s="70"/>
    </row>
    <row r="949" ht="15.75" customHeight="1">
      <c r="D949" s="70"/>
    </row>
    <row r="950" ht="15.75" customHeight="1">
      <c r="D950" s="70"/>
    </row>
    <row r="951" ht="15.75" customHeight="1">
      <c r="D951" s="70"/>
    </row>
    <row r="952" ht="15.75" customHeight="1">
      <c r="D952" s="70"/>
    </row>
    <row r="953" ht="15.75" customHeight="1">
      <c r="D953" s="70"/>
    </row>
    <row r="954" ht="15.75" customHeight="1">
      <c r="D954" s="70"/>
    </row>
    <row r="955" ht="15.75" customHeight="1">
      <c r="D955" s="70"/>
    </row>
    <row r="956" ht="15.75" customHeight="1">
      <c r="D956" s="70"/>
    </row>
    <row r="957" ht="15.75" customHeight="1">
      <c r="D957" s="70"/>
    </row>
    <row r="958" ht="15.75" customHeight="1">
      <c r="D958" s="70"/>
    </row>
    <row r="959" ht="15.75" customHeight="1">
      <c r="D959" s="70"/>
    </row>
    <row r="960" ht="15.75" customHeight="1">
      <c r="D960" s="70"/>
    </row>
    <row r="961" ht="15.75" customHeight="1">
      <c r="D961" s="70"/>
    </row>
    <row r="962" ht="15.75" customHeight="1">
      <c r="D962" s="70"/>
    </row>
    <row r="963" ht="15.75" customHeight="1">
      <c r="D963" s="70"/>
    </row>
    <row r="964" ht="15.75" customHeight="1">
      <c r="D964" s="70"/>
    </row>
    <row r="965" ht="15.75" customHeight="1">
      <c r="D965" s="70"/>
    </row>
    <row r="966" ht="15.75" customHeight="1">
      <c r="D966" s="70"/>
    </row>
    <row r="967" ht="15.75" customHeight="1">
      <c r="D967" s="70"/>
    </row>
    <row r="968" ht="15.75" customHeight="1">
      <c r="D968" s="70"/>
    </row>
    <row r="969" ht="15.75" customHeight="1">
      <c r="D969" s="70"/>
    </row>
    <row r="970" ht="15.75" customHeight="1">
      <c r="D970" s="70"/>
    </row>
    <row r="971" ht="15.75" customHeight="1">
      <c r="D971" s="70"/>
    </row>
    <row r="972" ht="15.75" customHeight="1">
      <c r="D972" s="70"/>
    </row>
    <row r="973" ht="15.75" customHeight="1">
      <c r="D973" s="70"/>
    </row>
    <row r="974" ht="15.75" customHeight="1">
      <c r="D974" s="70"/>
    </row>
    <row r="975" ht="15.75" customHeight="1">
      <c r="D975" s="70"/>
    </row>
    <row r="976" ht="15.75" customHeight="1">
      <c r="D976" s="70"/>
    </row>
    <row r="977" ht="15.75" customHeight="1">
      <c r="D977" s="70"/>
    </row>
    <row r="978" ht="15.75" customHeight="1">
      <c r="D978" s="70"/>
    </row>
    <row r="979" ht="15.75" customHeight="1">
      <c r="D979" s="70"/>
    </row>
    <row r="980" ht="15.75" customHeight="1">
      <c r="D980" s="70"/>
    </row>
    <row r="981" ht="15.75" customHeight="1">
      <c r="D981" s="70"/>
    </row>
    <row r="982" ht="15.75" customHeight="1">
      <c r="D982" s="70"/>
    </row>
    <row r="983" ht="15.75" customHeight="1">
      <c r="D983" s="70"/>
    </row>
    <row r="984" ht="15.75" customHeight="1">
      <c r="D984" s="70"/>
    </row>
    <row r="985" ht="15.75" customHeight="1">
      <c r="D985" s="70"/>
    </row>
    <row r="986" ht="15.75" customHeight="1">
      <c r="D986" s="70"/>
    </row>
    <row r="987" ht="15.75" customHeight="1">
      <c r="D987" s="70"/>
    </row>
    <row r="988" ht="15.75" customHeight="1">
      <c r="D988" s="70"/>
    </row>
    <row r="989" ht="15.75" customHeight="1">
      <c r="D989" s="70"/>
    </row>
    <row r="990" ht="15.75" customHeight="1">
      <c r="D990" s="70"/>
    </row>
    <row r="991" ht="15.75" customHeight="1">
      <c r="D991" s="70"/>
    </row>
    <row r="992" ht="15.75" customHeight="1">
      <c r="D992" s="70"/>
    </row>
    <row r="993" ht="15.75" customHeight="1">
      <c r="D993" s="70"/>
    </row>
    <row r="994" ht="15.75" customHeight="1">
      <c r="D994" s="70"/>
    </row>
    <row r="995" ht="15.75" customHeight="1">
      <c r="D995" s="70"/>
    </row>
    <row r="996" ht="15.75" customHeight="1">
      <c r="D996" s="70"/>
    </row>
    <row r="997" ht="15.75" customHeight="1">
      <c r="D997" s="70"/>
    </row>
    <row r="998" ht="15.75" customHeight="1">
      <c r="D998" s="70"/>
    </row>
    <row r="999" ht="15.75" customHeight="1">
      <c r="D999" s="70"/>
    </row>
    <row r="1000" ht="15.75" customHeight="1">
      <c r="D1000" s="70"/>
    </row>
  </sheetData>
  <mergeCells count="4">
    <mergeCell ref="B1:I1"/>
    <mergeCell ref="B2:H2"/>
    <mergeCell ref="B4:I4"/>
    <mergeCell ref="B16:E16"/>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66573"/>
    <pageSetUpPr/>
  </sheetPr>
  <sheetViews>
    <sheetView showGridLines="0" workbookViewId="0"/>
  </sheetViews>
  <sheetFormatPr customHeight="1" defaultColWidth="12.63" defaultRowHeight="15.0"/>
  <cols>
    <col customWidth="1" min="1" max="1" width="2.0"/>
    <col customWidth="1" min="2" max="2" width="34.0"/>
    <col customWidth="1" min="3" max="7" width="16.0"/>
    <col customWidth="1" min="8" max="8" width="20.75"/>
    <col customWidth="1" min="9" max="9" width="21.75"/>
    <col customWidth="1" min="10" max="10" width="20.0"/>
    <col customWidth="1" min="11" max="11" width="13.25"/>
    <col customWidth="1" min="12" max="12" width="8.88"/>
    <col customWidth="1" min="13" max="13" width="12.75"/>
    <col customWidth="1" min="14" max="27" width="8.88"/>
  </cols>
  <sheetData>
    <row r="1" ht="30.0" customHeight="1">
      <c r="A1" s="1"/>
      <c r="B1" s="67" t="s">
        <v>59</v>
      </c>
      <c r="C1" s="5"/>
      <c r="D1" s="5"/>
      <c r="E1" s="5"/>
      <c r="F1" s="5"/>
      <c r="G1" s="5"/>
      <c r="H1" s="5"/>
      <c r="I1" s="5"/>
      <c r="J1" s="9"/>
      <c r="K1" s="1"/>
      <c r="L1" s="1"/>
      <c r="M1" s="1"/>
      <c r="N1" s="1"/>
      <c r="O1" s="1"/>
      <c r="P1" s="1"/>
      <c r="Q1" s="1"/>
      <c r="R1" s="1"/>
      <c r="S1" s="1"/>
      <c r="T1" s="1"/>
      <c r="U1" s="1"/>
      <c r="V1" s="1"/>
      <c r="W1" s="1"/>
      <c r="X1" s="1"/>
      <c r="Y1" s="1"/>
      <c r="Z1" s="1"/>
      <c r="AA1" s="1"/>
    </row>
    <row r="2" ht="7.5" customHeight="1">
      <c r="A2" s="1"/>
      <c r="B2" s="1"/>
      <c r="C2" s="1"/>
      <c r="D2" s="1"/>
      <c r="E2" s="1"/>
      <c r="F2" s="1"/>
      <c r="G2" s="1"/>
      <c r="H2" s="1"/>
      <c r="I2" s="1"/>
      <c r="J2" s="1"/>
      <c r="K2" s="1"/>
      <c r="L2" s="1"/>
      <c r="M2" s="1"/>
      <c r="N2" s="1"/>
      <c r="O2" s="1"/>
      <c r="P2" s="1"/>
      <c r="Q2" s="1"/>
      <c r="R2" s="1"/>
      <c r="S2" s="1"/>
      <c r="T2" s="1"/>
      <c r="U2" s="1"/>
      <c r="V2" s="1"/>
      <c r="W2" s="1"/>
      <c r="X2" s="1"/>
      <c r="Y2" s="1"/>
      <c r="Z2" s="1"/>
      <c r="AA2" s="1"/>
    </row>
    <row r="3" ht="9.75" customHeight="1">
      <c r="A3" s="1"/>
      <c r="B3" s="1"/>
      <c r="C3" s="1"/>
      <c r="D3" s="1"/>
      <c r="E3" s="1"/>
      <c r="F3" s="1"/>
      <c r="G3" s="1"/>
      <c r="H3" s="1"/>
      <c r="I3" s="1"/>
      <c r="J3" s="1"/>
      <c r="K3" s="1"/>
      <c r="L3" s="1"/>
      <c r="M3" s="1"/>
      <c r="N3" s="1"/>
      <c r="O3" s="1"/>
      <c r="P3" s="1"/>
      <c r="Q3" s="1"/>
      <c r="R3" s="1"/>
      <c r="S3" s="1"/>
      <c r="T3" s="1"/>
      <c r="U3" s="1"/>
      <c r="V3" s="1"/>
      <c r="W3" s="1"/>
      <c r="X3" s="1"/>
      <c r="Y3" s="1"/>
      <c r="Z3" s="1"/>
      <c r="AA3" s="1"/>
    </row>
    <row r="4" ht="18.0" customHeight="1">
      <c r="A4" s="1"/>
      <c r="B4" s="72" t="s">
        <v>61</v>
      </c>
      <c r="C4" s="5"/>
      <c r="D4" s="5"/>
      <c r="E4" s="5"/>
      <c r="F4" s="5"/>
      <c r="G4" s="5"/>
      <c r="H4" s="5"/>
      <c r="I4" s="5"/>
      <c r="J4" s="9"/>
      <c r="K4" s="1"/>
      <c r="L4" s="1"/>
      <c r="M4" s="1"/>
      <c r="N4" s="1"/>
      <c r="O4" s="1"/>
      <c r="P4" s="1"/>
      <c r="Q4" s="1"/>
      <c r="R4" s="1"/>
      <c r="S4" s="1"/>
      <c r="T4" s="1"/>
      <c r="U4" s="1"/>
      <c r="V4" s="1"/>
      <c r="W4" s="1"/>
      <c r="X4" s="1"/>
      <c r="Y4" s="1"/>
      <c r="Z4" s="1"/>
      <c r="AA4" s="1"/>
    </row>
    <row r="5" ht="3.75" customHeight="1">
      <c r="A5" s="1"/>
      <c r="B5" s="1"/>
      <c r="C5" s="1"/>
      <c r="D5" s="1"/>
      <c r="E5" s="1"/>
      <c r="F5" s="1"/>
      <c r="G5" s="1"/>
      <c r="H5" s="1"/>
      <c r="I5" s="1"/>
      <c r="J5" s="1"/>
      <c r="K5" s="1"/>
      <c r="L5" s="1"/>
      <c r="M5" s="1"/>
      <c r="N5" s="1"/>
      <c r="O5" s="1"/>
      <c r="P5" s="1"/>
      <c r="Q5" s="1"/>
      <c r="R5" s="1"/>
      <c r="S5" s="1"/>
      <c r="T5" s="1"/>
      <c r="U5" s="1"/>
      <c r="V5" s="1"/>
      <c r="W5" s="1"/>
      <c r="X5" s="1"/>
      <c r="Y5" s="1"/>
      <c r="Z5" s="1"/>
      <c r="AA5" s="1"/>
    </row>
    <row r="6" ht="18.0" customHeight="1">
      <c r="A6" s="1"/>
      <c r="B6" s="75" t="s">
        <v>64</v>
      </c>
      <c r="C6" s="75" t="s">
        <v>65</v>
      </c>
      <c r="D6" s="75" t="s">
        <v>67</v>
      </c>
      <c r="E6" s="75" t="s">
        <v>68</v>
      </c>
      <c r="F6" s="75" t="s">
        <v>69</v>
      </c>
      <c r="G6" s="75" t="s">
        <v>70</v>
      </c>
      <c r="H6" s="75" t="s">
        <v>71</v>
      </c>
      <c r="I6" s="75" t="s">
        <v>72</v>
      </c>
      <c r="J6" s="75" t="s">
        <v>73</v>
      </c>
      <c r="K6" s="1"/>
      <c r="L6" s="1"/>
      <c r="M6" s="1"/>
      <c r="N6" s="1"/>
      <c r="O6" s="1"/>
      <c r="P6" s="1"/>
      <c r="Q6" s="1"/>
      <c r="R6" s="1"/>
      <c r="S6" s="1"/>
      <c r="T6" s="1"/>
      <c r="U6" s="1"/>
      <c r="V6" s="1"/>
      <c r="W6" s="1"/>
      <c r="X6" s="1"/>
      <c r="Y6" s="1"/>
      <c r="Z6" s="1"/>
      <c r="AA6" s="1"/>
    </row>
    <row r="7" ht="15.75" customHeight="1">
      <c r="A7" s="1"/>
      <c r="B7" s="79">
        <v>1400.0</v>
      </c>
      <c r="C7" s="82">
        <f> B7 / CEA!$C$4</f>
        <v>14285.71429</v>
      </c>
      <c r="D7" s="85">
        <f> benefit!C10 - ($B7*benefit!$H$9 / CEA!$C$7) * oppcost!C4</f>
        <v>-179.9215544</v>
      </c>
      <c r="E7" s="85">
        <f> benefit!D10 - ($B7*benefit!$H$9 / CEA!$C$7) * oppcost!D4</f>
        <v>-56.73393844</v>
      </c>
      <c r="F7" s="85">
        <f> benefit!E10 - ($B7*benefit!$H$9 / CEA!$C$7) * oppcost!E4</f>
        <v>22.03108255</v>
      </c>
      <c r="G7" s="85">
        <f> benefit!F10 - ($B7*benefit!$H$9 / CEA!$C$7) * oppcost!F4</f>
        <v>229.8097124</v>
      </c>
      <c r="H7" s="85">
        <f> benefit!G10 - ($B7*benefit!$H$9 / CEA!$C$7) * oppcost!G4</f>
        <v>411.5611573</v>
      </c>
      <c r="I7" s="87">
        <f t="shared" ref="I7:I15" si="1">((0.2*(63+(D7/8982727))^(0.5)+0.2*(68+(E7/9687031))^(0.5)+0.2*(70+(F7/9744766))^(0.5)+0.2*(73+(G7/9530611))^(0.5)+0.2*(75+(H7/9275464))^(0.5))^(1/0.5))-69.784581</f>
        <v>-0.04763233328</v>
      </c>
      <c r="J7" s="88" t="str">
        <f t="shared" ref="J7:J15" si="2">IF(I7&gt;0, "semaglutide", "baseline")</f>
        <v>baseline</v>
      </c>
      <c r="K7" s="1"/>
      <c r="L7" s="1"/>
      <c r="M7" s="1"/>
      <c r="N7" s="89"/>
      <c r="O7" s="1"/>
      <c r="P7" s="1"/>
      <c r="Q7" s="1"/>
      <c r="R7" s="1"/>
      <c r="S7" s="1"/>
      <c r="T7" s="1"/>
      <c r="U7" s="1"/>
      <c r="V7" s="1"/>
      <c r="W7" s="1"/>
      <c r="X7" s="1"/>
      <c r="Y7" s="1"/>
      <c r="Z7" s="1"/>
      <c r="AA7" s="1"/>
    </row>
    <row r="8" ht="15.75" customHeight="1">
      <c r="A8" s="1"/>
      <c r="B8" s="90">
        <v>1601.0</v>
      </c>
      <c r="C8" s="91">
        <f> B8 / CEA!$C$4</f>
        <v>16336.73469</v>
      </c>
      <c r="D8" s="93">
        <f> benefit!C10 - ($B8*benefit!$H$9 / CEA!$C$7) * oppcost!C4</f>
        <v>-210.5558538</v>
      </c>
      <c r="E8" s="93">
        <f> benefit!D10 - ($B8*benefit!$H$9 / CEA!$C$7) * oppcost!D4</f>
        <v>-87.36823785</v>
      </c>
      <c r="F8" s="93">
        <f> benefit!E10 - ($B8*benefit!$H$9 / CEA!$C$7) * oppcost!E4</f>
        <v>-8.60321686</v>
      </c>
      <c r="G8" s="93">
        <f> benefit!F10 - ($B8*benefit!$H$9 / CEA!$C$7) * oppcost!F4</f>
        <v>199.175413</v>
      </c>
      <c r="H8" s="93">
        <f> benefit!G10 - ($B8*benefit!$H$9 / CEA!$C$7) * oppcost!G4</f>
        <v>380.9268579</v>
      </c>
      <c r="I8" s="87">
        <f t="shared" si="1"/>
        <v>-0.04763558423</v>
      </c>
      <c r="J8" s="88" t="str">
        <f t="shared" si="2"/>
        <v>baseline</v>
      </c>
      <c r="K8" s="1"/>
      <c r="L8" s="1"/>
      <c r="M8" s="1"/>
      <c r="N8" s="89"/>
      <c r="O8" s="1"/>
      <c r="P8" s="1"/>
      <c r="Q8" s="1"/>
      <c r="R8" s="1"/>
      <c r="S8" s="1"/>
      <c r="T8" s="1"/>
      <c r="U8" s="1"/>
      <c r="V8" s="1"/>
      <c r="W8" s="1"/>
      <c r="X8" s="1"/>
      <c r="Y8" s="1"/>
      <c r="Z8" s="1"/>
      <c r="AA8" s="1"/>
    </row>
    <row r="9" ht="15.75" customHeight="1">
      <c r="A9" s="1"/>
      <c r="B9" s="79">
        <v>2000.0</v>
      </c>
      <c r="C9" s="82">
        <f> B9 / CEA!$C$4</f>
        <v>20408.16327</v>
      </c>
      <c r="D9" s="85">
        <f> benefit!C10 - ($B9 * benefit!$H$9 / CEA!$C$7) * oppcost!C4</f>
        <v>-271.3672242</v>
      </c>
      <c r="E9" s="85">
        <f> benefit!D10 - ($B9 * benefit!$H$9 / CEA!$C$7) * oppcost!D4</f>
        <v>-148.1796083</v>
      </c>
      <c r="F9" s="85">
        <f> benefit!E10 - ($B9 * benefit!$H$9 / CEA!$C$7) * oppcost!E4</f>
        <v>-69.41458733</v>
      </c>
      <c r="G9" s="85">
        <f> benefit!F10 - ($B9 * benefit!$H$9 / CEA!$C$7) * oppcost!F4</f>
        <v>138.3640425</v>
      </c>
      <c r="H9" s="85">
        <f> benefit!G10 - ($B9 * benefit!$H$9 / CEA!$C$7) * oppcost!G4</f>
        <v>320.1154874</v>
      </c>
      <c r="I9" s="87">
        <f t="shared" si="1"/>
        <v>-0.0476420376</v>
      </c>
      <c r="J9" s="88" t="str">
        <f t="shared" si="2"/>
        <v>baseline</v>
      </c>
      <c r="K9" s="1"/>
      <c r="L9" s="1"/>
      <c r="M9" s="1"/>
      <c r="N9" s="89"/>
      <c r="O9" s="1"/>
      <c r="P9" s="1"/>
      <c r="Q9" s="1"/>
      <c r="R9" s="1"/>
      <c r="S9" s="1"/>
      <c r="T9" s="1"/>
      <c r="U9" s="1"/>
      <c r="V9" s="1"/>
      <c r="W9" s="1"/>
      <c r="X9" s="1"/>
      <c r="Y9" s="1"/>
      <c r="Z9" s="1"/>
      <c r="AA9" s="1"/>
    </row>
    <row r="10" ht="15.75" customHeight="1">
      <c r="A10" s="1"/>
      <c r="B10" s="97">
        <v>4000.0</v>
      </c>
      <c r="C10" s="82">
        <f> B10 / CEA!$C$4</f>
        <v>40816.32653</v>
      </c>
      <c r="D10" s="85">
        <f> benefit!C10 - ($B10 * benefit!$H$9 / CEA!$C$7) * oppcost!C4</f>
        <v>-576.1861238</v>
      </c>
      <c r="E10" s="85">
        <f> benefit!D10 - ($B10 * benefit!$H$9 / CEA!$C$7) * oppcost!D4</f>
        <v>-452.9985079</v>
      </c>
      <c r="F10" s="85">
        <f> benefit!E10 - ($B10 * benefit!$H$9 / CEA!$C$7) * oppcost!E4</f>
        <v>-374.2334869</v>
      </c>
      <c r="G10" s="85">
        <f> benefit!F10 - ($B10 * benefit!$H$9 / CEA!$C$7) * oppcost!F4</f>
        <v>-166.4548571</v>
      </c>
      <c r="H10" s="85">
        <f> benefit!G10 - ($B10 * benefit!$H$9 / CEA!$C$7) * oppcost!G4</f>
        <v>15.29658782</v>
      </c>
      <c r="I10" s="87">
        <f t="shared" si="1"/>
        <v>-0.04767438535</v>
      </c>
      <c r="J10" s="88" t="str">
        <f t="shared" si="2"/>
        <v>baseline</v>
      </c>
      <c r="K10" s="1"/>
      <c r="L10" s="1"/>
      <c r="M10" s="1"/>
      <c r="N10" s="1"/>
      <c r="O10" s="1"/>
      <c r="P10" s="1"/>
      <c r="Q10" s="1"/>
      <c r="R10" s="1"/>
      <c r="S10" s="1"/>
      <c r="T10" s="1"/>
      <c r="U10" s="1"/>
      <c r="V10" s="1"/>
      <c r="W10" s="1"/>
      <c r="X10" s="1"/>
      <c r="Y10" s="1"/>
      <c r="Z10" s="1"/>
      <c r="AA10" s="1"/>
    </row>
    <row r="11" ht="15.75" customHeight="1">
      <c r="A11" s="1"/>
      <c r="B11" s="100">
        <v>6000.0</v>
      </c>
      <c r="C11" s="82">
        <f> B11 / CEA!$C$4</f>
        <v>61224.4898</v>
      </c>
      <c r="D11" s="85">
        <f> benefit!C10 - ($B11 * benefit!$H$9 / CEA!$C$7) * oppcost!C4</f>
        <v>-881.0050234</v>
      </c>
      <c r="E11" s="85">
        <f> benefit!D10 - ($B11 * benefit!$H$9 / CEA!$C$7) * oppcost!D4</f>
        <v>-757.8174075</v>
      </c>
      <c r="F11" s="85">
        <f> benefit!E10 - ($B11 * benefit!$H$9 / CEA!$C$7) * oppcost!E4</f>
        <v>-679.0523865</v>
      </c>
      <c r="G11" s="85">
        <f> benefit!F10 - ($B11 * benefit!$H$9 / CEA!$C$7) * oppcost!F4</f>
        <v>-471.2737567</v>
      </c>
      <c r="H11" s="85">
        <f> benefit!G10 - ($B11 * benefit!$H$9 / CEA!$C$7) * oppcost!G4</f>
        <v>-289.5223118</v>
      </c>
      <c r="I11" s="87">
        <f t="shared" si="1"/>
        <v>-0.04770673309</v>
      </c>
      <c r="J11" s="88" t="str">
        <f t="shared" si="2"/>
        <v>baseline</v>
      </c>
      <c r="K11" s="1"/>
      <c r="L11" s="1"/>
      <c r="M11" s="1"/>
      <c r="N11" s="1"/>
      <c r="O11" s="1"/>
      <c r="P11" s="1"/>
      <c r="Q11" s="1"/>
      <c r="R11" s="1"/>
      <c r="S11" s="1"/>
      <c r="T11" s="1"/>
      <c r="U11" s="1"/>
      <c r="V11" s="1"/>
      <c r="W11" s="1"/>
      <c r="X11" s="1"/>
      <c r="Y11" s="1"/>
      <c r="Z11" s="1"/>
      <c r="AA11" s="1"/>
    </row>
    <row r="12" ht="15.75" customHeight="1">
      <c r="A12" s="1"/>
      <c r="B12" s="97">
        <v>8000.0</v>
      </c>
      <c r="C12" s="82">
        <f> B12 / CEA!$C$4</f>
        <v>81632.65306</v>
      </c>
      <c r="D12" s="85">
        <f> benefit!C10 - ($B12 * benefit!$H$9 / CEA!$C$7) * oppcost!C4</f>
        <v>-1185.823923</v>
      </c>
      <c r="E12" s="85">
        <f> benefit!D10 - ($B12 * benefit!$H$9 / CEA!$C$7) * oppcost!D4</f>
        <v>-1062.636307</v>
      </c>
      <c r="F12" s="85">
        <f> benefit!E10 - ($B12 * benefit!$H$9 / CEA!$C$7) * oppcost!E4</f>
        <v>-983.8712861</v>
      </c>
      <c r="G12" s="85">
        <f> benefit!F10 - ($B12 * benefit!$H$9 / CEA!$C$7) * oppcost!F4</f>
        <v>-776.0926562</v>
      </c>
      <c r="H12" s="85">
        <f> benefit!G10 - ($B12 * benefit!$H$9 / CEA!$C$7) * oppcost!G4</f>
        <v>-594.3412114</v>
      </c>
      <c r="I12" s="87">
        <f t="shared" si="1"/>
        <v>-0.04773908084</v>
      </c>
      <c r="J12" s="88" t="str">
        <f t="shared" si="2"/>
        <v>baseline</v>
      </c>
      <c r="K12" s="1"/>
      <c r="L12" s="1"/>
      <c r="M12" s="1"/>
      <c r="N12" s="1"/>
      <c r="O12" s="1"/>
      <c r="P12" s="1"/>
      <c r="Q12" s="1"/>
      <c r="R12" s="1"/>
      <c r="S12" s="1"/>
      <c r="T12" s="1"/>
      <c r="U12" s="1"/>
      <c r="V12" s="1"/>
      <c r="W12" s="1"/>
      <c r="X12" s="1"/>
      <c r="Y12" s="1"/>
      <c r="Z12" s="1"/>
      <c r="AA12" s="1"/>
    </row>
    <row r="13" ht="15.75" customHeight="1">
      <c r="A13" s="1"/>
      <c r="B13" s="79">
        <v>10000.0</v>
      </c>
      <c r="C13" s="82">
        <f> B13 / CEA!$C$4</f>
        <v>102040.8163</v>
      </c>
      <c r="D13" s="85">
        <f> benefit!C10 - ($B13 * benefit!$H$9 / CEA!$C$7) * oppcost!C4</f>
        <v>-1490.642823</v>
      </c>
      <c r="E13" s="85">
        <f> benefit!D10 - ($B13 * benefit!$H$9 / CEA!$C$7) * oppcost!D4</f>
        <v>-1367.455207</v>
      </c>
      <c r="F13" s="85">
        <f> benefit!E10 - ($B13 * benefit!$H$9 / CEA!$C$7) * oppcost!E4</f>
        <v>-1288.690186</v>
      </c>
      <c r="G13" s="85">
        <f> benefit!F10 - ($B13 * benefit!$H$9 / CEA!$C$7) * oppcost!F4</f>
        <v>-1080.911556</v>
      </c>
      <c r="H13" s="85">
        <f> benefit!G10 - ($B13 * benefit!$H$9 / CEA!$C$7) * oppcost!G4</f>
        <v>-899.160111</v>
      </c>
      <c r="I13" s="87">
        <f t="shared" si="1"/>
        <v>-0.04777142859</v>
      </c>
      <c r="J13" s="88" t="str">
        <f t="shared" si="2"/>
        <v>baseline</v>
      </c>
      <c r="K13" s="1"/>
      <c r="L13" s="1"/>
      <c r="M13" s="1"/>
      <c r="N13" s="1"/>
      <c r="O13" s="1"/>
      <c r="P13" s="1"/>
      <c r="Q13" s="1"/>
      <c r="R13" s="1"/>
      <c r="S13" s="1"/>
      <c r="T13" s="1"/>
      <c r="U13" s="1"/>
      <c r="V13" s="1"/>
      <c r="W13" s="1"/>
      <c r="X13" s="1"/>
      <c r="Y13" s="1"/>
      <c r="Z13" s="1"/>
      <c r="AA13" s="1"/>
    </row>
    <row r="14" ht="15.75" customHeight="1">
      <c r="A14" s="1"/>
      <c r="B14" s="97">
        <v>15000.0</v>
      </c>
      <c r="C14" s="82">
        <f> B14 / CEA!$C$4</f>
        <v>153061.2245</v>
      </c>
      <c r="D14" s="85">
        <f> benefit!C10 - ($B14 * benefit!$H$9 / CEA!$C$7) * oppcost!C4</f>
        <v>-2252.690072</v>
      </c>
      <c r="E14" s="85">
        <f> benefit!D10 - ($B14 * benefit!$H$9 / CEA!$C$7) * oppcost!D4</f>
        <v>-2129.502456</v>
      </c>
      <c r="F14" s="85">
        <f> benefit!E10 - ($B14 * benefit!$H$9 / CEA!$C$7) * oppcost!E4</f>
        <v>-2050.737435</v>
      </c>
      <c r="G14" s="85">
        <f> benefit!F10 - ($B14 * benefit!$H$9 / CEA!$C$7) * oppcost!F4</f>
        <v>-1842.958805</v>
      </c>
      <c r="H14" s="85">
        <f> benefit!G10 - ($B14 * benefit!$H$9 / CEA!$C$7) * oppcost!G4</f>
        <v>-1661.20736</v>
      </c>
      <c r="I14" s="87">
        <f t="shared" si="1"/>
        <v>-0.04785229795</v>
      </c>
      <c r="J14" s="88" t="str">
        <f t="shared" si="2"/>
        <v>baseline</v>
      </c>
      <c r="K14" s="1"/>
      <c r="L14" s="1"/>
      <c r="M14" s="1"/>
      <c r="N14" s="1"/>
      <c r="O14" s="1"/>
      <c r="P14" s="1"/>
      <c r="Q14" s="1"/>
      <c r="R14" s="1"/>
      <c r="S14" s="1"/>
      <c r="T14" s="1"/>
      <c r="U14" s="1"/>
      <c r="V14" s="1"/>
      <c r="W14" s="1"/>
      <c r="X14" s="1"/>
      <c r="Y14" s="1"/>
      <c r="Z14" s="1"/>
      <c r="AA14" s="1"/>
    </row>
    <row r="15" ht="15.75" customHeight="1">
      <c r="A15" s="1"/>
      <c r="B15" s="79">
        <v>20000.0</v>
      </c>
      <c r="C15" s="82">
        <f> B15 / CEA!$C$4</f>
        <v>204081.6327</v>
      </c>
      <c r="D15" s="85">
        <f> benefit!C10 - ($B15 * benefit!$H$9 / CEA!$C$7) * oppcost!C4</f>
        <v>-3014.737321</v>
      </c>
      <c r="E15" s="85">
        <f> benefit!D10 - ($B15 * benefit!$H$9 / CEA!$C$7) * oppcost!D4</f>
        <v>-2891.549705</v>
      </c>
      <c r="F15" s="85">
        <f> benefit!E10 - ($B15 * benefit!$H$9 / CEA!$C$7) * oppcost!E4</f>
        <v>-2812.784684</v>
      </c>
      <c r="G15" s="85">
        <f> benefit!F10 - ($B15 * benefit!$H$9 / CEA!$C$7) * oppcost!F4</f>
        <v>-2605.006054</v>
      </c>
      <c r="H15" s="85">
        <f> benefit!G10 - ($B15 * benefit!$H$9 / CEA!$C$7) * oppcost!G4</f>
        <v>-2423.254609</v>
      </c>
      <c r="I15" s="87">
        <f t="shared" si="1"/>
        <v>-0.04793316731</v>
      </c>
      <c r="J15" s="88" t="str">
        <f t="shared" si="2"/>
        <v>baseline</v>
      </c>
      <c r="K15" s="114"/>
      <c r="L15" s="1"/>
      <c r="M15" s="1"/>
      <c r="N15" s="1"/>
      <c r="O15" s="1"/>
      <c r="P15" s="1"/>
      <c r="Q15" s="1"/>
      <c r="R15" s="1"/>
      <c r="S15" s="1"/>
      <c r="T15" s="1"/>
      <c r="U15" s="1"/>
      <c r="V15" s="1"/>
      <c r="W15" s="1"/>
      <c r="X15" s="1"/>
      <c r="Y15" s="1"/>
      <c r="Z15" s="1"/>
      <c r="AA15" s="1"/>
    </row>
    <row r="16" ht="9.7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ht="12.0"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ht="18.0" customHeight="1">
      <c r="A18" s="1"/>
      <c r="B18" s="116" t="s">
        <v>92</v>
      </c>
      <c r="C18" s="13"/>
      <c r="D18" s="13"/>
      <c r="E18" s="13"/>
      <c r="F18" s="13"/>
      <c r="G18" s="13"/>
      <c r="H18" s="13"/>
      <c r="I18" s="13"/>
      <c r="J18" s="17"/>
      <c r="K18" s="1"/>
      <c r="L18" s="1"/>
      <c r="M18" s="1"/>
      <c r="N18" s="1"/>
      <c r="O18" s="1"/>
      <c r="P18" s="1"/>
      <c r="Q18" s="1"/>
      <c r="R18" s="1"/>
      <c r="S18" s="1"/>
      <c r="T18" s="1"/>
      <c r="U18" s="1"/>
      <c r="V18" s="1"/>
      <c r="W18" s="1"/>
      <c r="X18" s="1"/>
      <c r="Y18" s="1"/>
      <c r="Z18" s="1"/>
      <c r="AA18" s="1"/>
    </row>
    <row r="19" ht="3.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ht="21.75" customHeight="1">
      <c r="A20" s="1"/>
      <c r="B20" s="14" t="s">
        <v>93</v>
      </c>
      <c r="C20" s="14" t="s">
        <v>94</v>
      </c>
      <c r="D20" s="14" t="s">
        <v>95</v>
      </c>
      <c r="E20" s="14" t="s">
        <v>96</v>
      </c>
      <c r="F20" s="14" t="s">
        <v>97</v>
      </c>
      <c r="G20" s="14" t="s">
        <v>98</v>
      </c>
      <c r="H20" s="14" t="s">
        <v>99</v>
      </c>
      <c r="I20" s="14" t="s">
        <v>100</v>
      </c>
      <c r="J20" s="14" t="s">
        <v>101</v>
      </c>
      <c r="K20" s="1"/>
      <c r="L20" s="1"/>
      <c r="M20" s="1"/>
      <c r="N20" s="1"/>
      <c r="O20" s="1"/>
      <c r="P20" s="1"/>
      <c r="Q20" s="1"/>
      <c r="R20" s="1"/>
      <c r="S20" s="1"/>
      <c r="T20" s="1"/>
      <c r="U20" s="1"/>
      <c r="V20" s="1"/>
      <c r="W20" s="1"/>
      <c r="X20" s="1"/>
      <c r="Y20" s="1"/>
      <c r="Z20" s="1"/>
      <c r="AA20" s="1"/>
    </row>
    <row r="21" ht="15.75" customHeight="1">
      <c r="A21" s="1"/>
      <c r="B21" s="119" t="s">
        <v>102</v>
      </c>
      <c r="C21" s="120">
        <v>0.2</v>
      </c>
      <c r="D21" s="120">
        <v>0.2</v>
      </c>
      <c r="E21" s="120">
        <v>0.2</v>
      </c>
      <c r="F21" s="120">
        <v>0.2</v>
      </c>
      <c r="G21" s="120">
        <v>0.2</v>
      </c>
      <c r="H21" s="128">
        <f t="array" ref="H21">SUM( benefit!C$10:G$10 - ($B$8*benefit!$H$9/CEA!$C$7)*C21:G21 )</f>
        <v>273.5749624</v>
      </c>
      <c r="I21" s="128">
        <f> benefit!C10 - ($B$8*benefit!$H$9/CEA!$C$7)*C21</f>
        <v>-210.5558538</v>
      </c>
      <c r="J21" s="129" t="str">
        <f t="shared" ref="J21:J24" si="3"> IF(I21&lt;0,"Q1 loses","Q1 gains")</f>
        <v>Q1 loses</v>
      </c>
      <c r="K21" s="1"/>
      <c r="L21" s="1"/>
      <c r="M21" s="1"/>
      <c r="N21" s="1"/>
      <c r="O21" s="1"/>
      <c r="P21" s="1"/>
      <c r="Q21" s="1"/>
      <c r="R21" s="1"/>
      <c r="S21" s="1"/>
      <c r="T21" s="1"/>
      <c r="U21" s="1"/>
      <c r="V21" s="1"/>
      <c r="W21" s="1"/>
      <c r="X21" s="1"/>
      <c r="Y21" s="1"/>
      <c r="Z21" s="1"/>
      <c r="AA21" s="1"/>
    </row>
    <row r="22" ht="15.75" customHeight="1">
      <c r="A22" s="1"/>
      <c r="B22" s="130" t="s">
        <v>104</v>
      </c>
      <c r="C22" s="131">
        <v>0.2437</v>
      </c>
      <c r="D22" s="131">
        <v>0.2115</v>
      </c>
      <c r="E22" s="131">
        <v>0.2151</v>
      </c>
      <c r="F22" s="131">
        <v>0.1756</v>
      </c>
      <c r="G22" s="131">
        <v>0.1541</v>
      </c>
      <c r="H22" s="128">
        <f t="array" ref="H22">SUM( benefit!C$10:G$10 - ($B$8*benefit!$H$9/CEA!$C$7)*C22:G22 )</f>
        <v>273.5749624</v>
      </c>
      <c r="I22" s="128">
        <f> benefit!C11 - ($B$8*benefit!$H$9/CEA!$C$7)*C22</f>
        <v>-297.3231742</v>
      </c>
      <c r="J22" s="129" t="str">
        <f t="shared" si="3"/>
        <v>Q1 loses</v>
      </c>
      <c r="K22" s="1"/>
      <c r="L22" s="1"/>
      <c r="M22" s="1"/>
      <c r="N22" s="1"/>
      <c r="O22" s="1"/>
      <c r="P22" s="1"/>
      <c r="Q22" s="1"/>
      <c r="R22" s="1"/>
      <c r="S22" s="1"/>
      <c r="T22" s="1"/>
      <c r="U22" s="1"/>
      <c r="V22" s="1"/>
      <c r="W22" s="1"/>
      <c r="X22" s="1"/>
      <c r="Y22" s="1"/>
      <c r="Z22" s="1"/>
      <c r="AA22" s="1"/>
    </row>
    <row r="23" ht="15.75" customHeight="1">
      <c r="A23" s="1"/>
      <c r="B23" s="132" t="s">
        <v>105</v>
      </c>
      <c r="C23" s="133">
        <v>0.5</v>
      </c>
      <c r="D23" s="133">
        <v>0.25</v>
      </c>
      <c r="E23" s="133">
        <v>0.15</v>
      </c>
      <c r="F23" s="133">
        <v>0.07</v>
      </c>
      <c r="G23" s="133">
        <v>0.03</v>
      </c>
      <c r="H23" s="128">
        <f t="array" ref="H23">SUM( benefit!C$10:G$10 - ($B$8*benefit!$H$9/CEA!$C$7)*C23:G23 )</f>
        <v>273.5749624</v>
      </c>
      <c r="I23" s="128">
        <f> benefit!C12 - ($B$8*benefit!$H$9/CEA!$C$7)*C23</f>
        <v>-610.0188228</v>
      </c>
      <c r="J23" s="129" t="str">
        <f t="shared" si="3"/>
        <v>Q1 loses</v>
      </c>
      <c r="K23" s="1"/>
      <c r="L23" s="1"/>
      <c r="M23" s="1"/>
      <c r="N23" s="1"/>
      <c r="O23" s="1"/>
      <c r="P23" s="1"/>
      <c r="Q23" s="1"/>
      <c r="R23" s="1"/>
      <c r="S23" s="1"/>
      <c r="T23" s="1"/>
      <c r="U23" s="1"/>
      <c r="V23" s="1"/>
      <c r="W23" s="1"/>
      <c r="X23" s="1"/>
      <c r="Y23" s="1"/>
      <c r="Z23" s="1"/>
      <c r="AA23" s="1"/>
    </row>
    <row r="24" ht="15.75" customHeight="1">
      <c r="A24" s="1"/>
      <c r="B24" s="130" t="s">
        <v>106</v>
      </c>
      <c r="C24" s="134">
        <v>0.03</v>
      </c>
      <c r="D24" s="134">
        <v>0.07</v>
      </c>
      <c r="E24" s="134">
        <v>0.15</v>
      </c>
      <c r="F24" s="134">
        <v>0.25</v>
      </c>
      <c r="G24" s="134">
        <v>0.5</v>
      </c>
      <c r="H24" s="128">
        <f t="array" ref="H24">SUM( benefit!C$10:G$10 - ($B$8*benefit!$H$9/CEA!$C$7)*C24:G24 )</f>
        <v>273.5749624</v>
      </c>
      <c r="I24" s="128">
        <f> benefit!C13 - ($B$8*benefit!$H$9/CEA!$C$7)*C24</f>
        <v>-36.60112937</v>
      </c>
      <c r="J24" s="129" t="str">
        <f t="shared" si="3"/>
        <v>Q1 loses</v>
      </c>
      <c r="K24" s="1"/>
      <c r="L24" s="1"/>
      <c r="M24" s="1"/>
      <c r="N24" s="1"/>
      <c r="O24" s="1"/>
      <c r="P24" s="1"/>
      <c r="Q24" s="1"/>
      <c r="R24" s="1"/>
      <c r="S24" s="1"/>
      <c r="T24" s="1"/>
      <c r="U24" s="1"/>
      <c r="V24" s="1"/>
      <c r="W24" s="1"/>
      <c r="X24" s="1"/>
      <c r="Y24" s="1"/>
      <c r="Z24" s="1"/>
      <c r="AA24" s="1"/>
    </row>
    <row r="25" ht="9.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ht="12.0"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ht="18.0" customHeight="1">
      <c r="A27" s="1"/>
      <c r="B27" s="116" t="s">
        <v>107</v>
      </c>
      <c r="C27" s="13"/>
      <c r="D27" s="13"/>
      <c r="E27" s="13"/>
      <c r="F27" s="13"/>
      <c r="G27" s="13"/>
      <c r="H27" s="13"/>
      <c r="I27" s="13"/>
      <c r="J27" s="17"/>
      <c r="K27" s="1"/>
      <c r="L27" s="1"/>
      <c r="M27" s="1"/>
      <c r="N27" s="1"/>
      <c r="O27" s="1"/>
      <c r="P27" s="1"/>
      <c r="Q27" s="1"/>
      <c r="R27" s="1"/>
      <c r="S27" s="1"/>
      <c r="T27" s="1"/>
      <c r="U27" s="1"/>
      <c r="V27" s="1"/>
      <c r="W27" s="1"/>
      <c r="X27" s="1"/>
      <c r="Y27" s="1"/>
      <c r="Z27" s="1"/>
      <c r="AA27" s="1"/>
    </row>
    <row r="28" ht="3.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ht="30.75" customHeight="1">
      <c r="A29" s="1"/>
      <c r="B29" s="14" t="s">
        <v>93</v>
      </c>
      <c r="C29" s="14" t="s">
        <v>108</v>
      </c>
      <c r="D29" s="14" t="s">
        <v>109</v>
      </c>
      <c r="E29" s="14" t="s">
        <v>110</v>
      </c>
      <c r="F29" s="14" t="s">
        <v>111</v>
      </c>
      <c r="G29" s="14" t="s">
        <v>112</v>
      </c>
      <c r="H29" s="14" t="s">
        <v>99</v>
      </c>
      <c r="I29" s="14" t="s">
        <v>113</v>
      </c>
      <c r="J29" s="14" t="s">
        <v>101</v>
      </c>
      <c r="K29" s="1"/>
      <c r="L29" s="1"/>
      <c r="M29" s="1"/>
      <c r="N29" s="1"/>
      <c r="O29" s="1"/>
      <c r="P29" s="1"/>
      <c r="Q29" s="1"/>
      <c r="R29" s="1"/>
      <c r="S29" s="1"/>
      <c r="T29" s="1"/>
      <c r="U29" s="1"/>
      <c r="V29" s="1"/>
      <c r="W29" s="1"/>
      <c r="X29" s="1"/>
      <c r="Y29" s="1"/>
      <c r="Z29" s="1"/>
      <c r="AA29" s="1"/>
    </row>
    <row r="30" ht="19.5" customHeight="1">
      <c r="A30" s="1"/>
      <c r="B30" s="119" t="s">
        <v>114</v>
      </c>
      <c r="C30" s="135">
        <f> benefit!C$10 - ($B$8*benefit!$H$9/CEA!$C$7)*oppcost!C$4</f>
        <v>-210.5558538</v>
      </c>
      <c r="D30" s="135">
        <f> benefit!D$10 - ($B$8*benefit!$H$9/CEA!$C$7)*oppcost!D$4</f>
        <v>-87.36823785</v>
      </c>
      <c r="E30" s="135">
        <f> benefit!E$10 - ($B$8*benefit!$H$9/CEA!$C$7)*oppcost!E$4</f>
        <v>-8.60321686</v>
      </c>
      <c r="F30" s="135">
        <f> benefit!F$10 - ($B$8*benefit!$H$9/CEA!$C$7)*oppcost!F$4</f>
        <v>199.175413</v>
      </c>
      <c r="G30" s="135">
        <f> benefit!G$10 - ($B$8*benefit!$H$9/CEA!$C$7)*oppcost!G$4</f>
        <v>380.9268579</v>
      </c>
      <c r="H30" s="128">
        <f t="shared" ref="H30:H31" si="4"> SUM(C30:G30)</f>
        <v>273.5749624</v>
      </c>
      <c r="I30" s="128">
        <f t="shared" ref="I30:I31" si="5"> C30</f>
        <v>-210.5558538</v>
      </c>
      <c r="J30" s="129" t="str">
        <f t="shared" ref="J30:J31" si="6"> IF(C30&lt;0,"Q1 loses","Q1 gains")</f>
        <v>Q1 loses</v>
      </c>
      <c r="K30" s="1"/>
      <c r="L30" s="1"/>
      <c r="M30" s="1"/>
      <c r="N30" s="1"/>
      <c r="O30" s="1"/>
      <c r="P30" s="1"/>
      <c r="Q30" s="1"/>
      <c r="R30" s="1"/>
      <c r="S30" s="1"/>
      <c r="T30" s="1"/>
      <c r="U30" s="1"/>
      <c r="V30" s="1"/>
      <c r="W30" s="1"/>
      <c r="X30" s="1"/>
      <c r="Y30" s="1"/>
      <c r="Z30" s="1"/>
      <c r="AA30" s="1"/>
    </row>
    <row r="31" ht="20.25" customHeight="1">
      <c r="A31" s="1"/>
      <c r="B31" s="132" t="s">
        <v>115</v>
      </c>
      <c r="C31" s="137">
        <f> benefit!C$10 - ($B$8*benefit!$H$9/CEA!$C$8)*oppcost!C$4</f>
        <v>-343.801771</v>
      </c>
      <c r="D31" s="138">
        <f> benefit!D$10 - ($B$8*benefit!$H$9/CEA!$C$8)*oppcost!D$4</f>
        <v>-220.6141551</v>
      </c>
      <c r="E31" s="138">
        <f> benefit!E$10 - ($B$8*benefit!$H$9/CEA!$C$8)*oppcost!E$4</f>
        <v>-141.8491341</v>
      </c>
      <c r="F31" s="138">
        <f> benefit!F$10 - ($B$8*benefit!$H$9/CEA!$C$8)*oppcost!F$4</f>
        <v>65.92949573</v>
      </c>
      <c r="G31" s="138">
        <f> benefit!G$10 - ($B$8*benefit!$H$9/CEA!$C$8)*oppcost!G$4</f>
        <v>247.6809406</v>
      </c>
      <c r="H31" s="139">
        <f t="shared" si="4"/>
        <v>-392.6546239</v>
      </c>
      <c r="I31" s="139">
        <f t="shared" si="5"/>
        <v>-343.801771</v>
      </c>
      <c r="J31" s="139" t="str">
        <f t="shared" si="6"/>
        <v>Q1 loses</v>
      </c>
      <c r="K31" s="1"/>
      <c r="L31" s="1"/>
      <c r="M31" s="1"/>
      <c r="N31" s="1"/>
      <c r="O31" s="1"/>
      <c r="P31" s="1"/>
      <c r="Q31" s="1"/>
      <c r="R31" s="1"/>
      <c r="S31" s="1"/>
      <c r="T31" s="1"/>
      <c r="U31" s="1"/>
      <c r="V31" s="1"/>
      <c r="W31" s="1"/>
      <c r="X31" s="1"/>
      <c r="Y31" s="1"/>
      <c r="Z31" s="1"/>
      <c r="AA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ht="9.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ht="36.0"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J1"/>
    <mergeCell ref="B4:J4"/>
    <mergeCell ref="B18:J18"/>
    <mergeCell ref="B27:J27"/>
  </mergeCells>
  <printOptions/>
  <pageMargins bottom="1.0" footer="0.0" header="0.0" left="0.75" right="0.75" top="1.0"/>
  <pageSetup orientation="landscape"/>
  <drawing r:id="rId1"/>
</worksheet>
</file>